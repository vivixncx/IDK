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hart calc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<sst xmlns="http://schemas.openxmlformats.org/spreadsheetml/2006/main" count="106" uniqueCount="64">
  <si>
    <t xml:space="preserve">APAC credit spreads &amp; curve slopes — range data</t>
  </si>
  <si>
    <t xml:space="preserve">Credit to 6-Aug-26 · curves monthly to May-26 · free sources only</t>
  </si>
  <si>
    <t xml:space="preserve">Edit the blue cells only. Everything else, and both charts, recalculates from them.</t>
  </si>
  <si>
    <t xml:space="preserve">Credit spreads vs their own 3-year range, bp</t>
  </si>
  <si>
    <t xml:space="preserve">Option-adjusted spread, bp. Percentile: 0 = tightest in window, 100 = widest.</t>
  </si>
  <si>
    <t xml:space="preserve">Series</t>
  </si>
  <si>
    <t xml:space="preserve">Min</t>
  </si>
  <si>
    <t xml:space="preserve">Max</t>
  </si>
  <si>
    <t xml:space="preserve">Mean</t>
  </si>
  <si>
    <t xml:space="preserve">Today</t>
  </si>
  <si>
    <t xml:space="preserve">Percentile</t>
  </si>
  <si>
    <t xml:space="preserve">Implied position</t>
  </si>
  <si>
    <t xml:space="preserve">Window</t>
  </si>
  <si>
    <t xml:space="preserve">Source</t>
  </si>
  <si>
    <t xml:space="preserve">Asia corporate</t>
  </si>
  <si>
    <t xml:space="preserve">3y to 6-Aug-26</t>
  </si>
  <si>
    <t xml:space="preserve">ICE BofA OAS via FRED</t>
  </si>
  <si>
    <t xml:space="preserve">EM corporate</t>
  </si>
  <si>
    <t xml:space="preserve">US investment grade</t>
  </si>
  <si>
    <t xml:space="preserve">US high yield</t>
  </si>
  <si>
    <t xml:space="preserve">Curve slopes vs their own 5-year range, bp</t>
  </si>
  <si>
    <t xml:space="preserve">Slope in bp. Percentile: 0 = flattest in window, 100 = steepest. Korea and Australia are 3m10y, not 2s10s.</t>
  </si>
  <si>
    <t xml:space="preserve">JGB 2s10s</t>
  </si>
  <si>
    <t xml:space="preserve">5y monthly to May-26</t>
  </si>
  <si>
    <t xml:space="preserve">MoF · UST · OECD via FRED</t>
  </si>
  <si>
    <t xml:space="preserve">JGB 5s10s</t>
  </si>
  <si>
    <t xml:space="preserve">JGB 10s20s</t>
  </si>
  <si>
    <t xml:space="preserve">JGB 10s30s</t>
  </si>
  <si>
    <t xml:space="preserve">UST 2s10s</t>
  </si>
  <si>
    <t xml:space="preserve">Korea 3m10y</t>
  </si>
  <si>
    <t xml:space="preserve">Australia 3m10y</t>
  </si>
  <si>
    <t xml:space="preserve">Notes and assumptions</t>
  </si>
  <si>
    <t xml:space="preserve">Min / Max / Mean / Today / Percentile are inputs (blue). They were recovered from the shape geometry of the source</t>
  </si>
  <si>
    <t xml:space="preserve">PowerPoint slide 'APAC_Credit_Curve_Ranges.pptx', which encoded them as positioned rectangles rather than a chart object.</t>
  </si>
  <si>
    <t xml:space="preserve">Recovered 'Today' values reproduce the printed slide labels exactly; Min / Max / Mean carry roughly +/-1bp of positioning error.</t>
  </si>
  <si>
    <t xml:space="preserve">'Implied position' is a computed cross-check only: where today sits between min and max on a straight-line basis. It will not</t>
  </si>
  <si>
    <t xml:space="preserve">equal the percentile unless the underlying distribution is uniform — a gap between the two is informative, not an error.</t>
  </si>
  <si>
    <t xml:space="preserve">Korea and Australia are 3m10y and are not like-for-like with the JGB and UST rows; no free source publishes their 2-year yields.</t>
  </si>
  <si>
    <t xml:space="preserve">Sources: ICE BofA OAS via FRED; Japan Ministry of Finance daily JGB yields; US Treasury daily par yields; OECD long rate</t>
  </si>
  <si>
    <t xml:space="preserve">and 3-month interbank via FRED.</t>
  </si>
  <si>
    <t xml:space="preserve">Chart geometry — do not edit; driven by 'Data'</t>
  </si>
  <si>
    <t xml:space="preserve">A floating range bar with markers is drawn in Excel as a stacked bar: an invisible run-up to the band, then band / tick / band / tick / band.</t>
  </si>
  <si>
    <t xml:space="preserve">Panel</t>
  </si>
  <si>
    <t xml:space="preserve">Value axis minimum (chart setting)</t>
  </si>
  <si>
    <t xml:space="preserve">Mean tick width, bp</t>
  </si>
  <si>
    <t xml:space="preserve">Today tick width, bp</t>
  </si>
  <si>
    <t xml:space="preserve">Credit panel</t>
  </si>
  <si>
    <t xml:space="preserve">&lt;- tick widths are cosmetic: how wide each marker is drawn, in axis units</t>
  </si>
  <si>
    <t xml:space="preserve">Curve panel</t>
  </si>
  <si>
    <t xml:space="preserve">Run-up (hidden)</t>
  </si>
  <si>
    <t xml:space="preserve">Band below zero</t>
  </si>
  <si>
    <t xml:space="preserve">Band left</t>
  </si>
  <si>
    <t xml:space="preserve">Mean tick</t>
  </si>
  <si>
    <t xml:space="preserve">Today tick</t>
  </si>
  <si>
    <t xml:space="preserve">Band middle</t>
  </si>
  <si>
    <t xml:space="preserve">Today tick </t>
  </si>
  <si>
    <t xml:space="preserve">Mean tick </t>
  </si>
  <si>
    <t xml:space="preserve">Band right</t>
  </si>
  <si>
    <t xml:space="preserve">Every spread is in the bottom decile of three years.</t>
  </si>
  <si>
    <t xml:space="preserve">3y min–max</t>
  </si>
  <si>
    <t xml:space="preserve">3y mean</t>
  </si>
  <si>
    <t xml:space="preserve">Japan is at the top of its own range up front, and Korea is steep with it.</t>
  </si>
  <si>
    <t xml:space="preserve">5y min–max</t>
  </si>
  <si>
    <t xml:space="preserve">5y mean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</si>
</sst>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"/>
    <numFmt numFmtId="166" formatCode="0"/>
    <numFmt numFmtId="167" formatCode="0%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767576"/>
      <name val="Arial"/>
      <family val="0"/>
      <charset val="1"/>
    </font>
    <font>
      <i val="true"/>
      <sz val="9"/>
      <color rgb="FFDB00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6757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DB0011"/>
      <name val="Arial"/>
      <family val="0"/>
      <charset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D7D8D6"/>
        <bgColor rgb="FFD9D9D9"/>
      </patternFill>
    </fill>
    <fill>
      <patternFill patternType="solid">
        <fgColor rgb="FFDB0011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B0011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67576"/>
      <rgbColor rgb="FF9999FF"/>
      <rgbColor rgb="FF993366"/>
      <rgbColor rgb="FFF2F2F2"/>
      <rgbColor rgb="FFCCFFFF"/>
      <rgbColor rgb="FF660066"/>
      <rgbColor rgb="FFFF8080"/>
      <rgbColor rgb="FF0066CC"/>
      <rgbColor rgb="FFD7D8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calc'!$B$9:$B$12</c:f>
              <c:numCache>
                <c:formatCode>0.0</c:formatCode>
                <c:ptCount val="4"/>
                <c:pt idx="0">
                  <c:v>76</c:v>
                </c:pt>
                <c:pt idx="1">
                  <c:v>138</c:v>
                </c:pt>
                <c:pt idx="2">
                  <c:v>73</c:v>
                </c:pt>
                <c:pt idx="3">
                  <c:v>259</c:v>
                </c:pt>
              </c:numCache>
            </c:numRef>
          </c:val>
        </c:ser>
        <c:ser>
          <c:idx val="1"/>
          <c:order val="1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calc'!$C$9:$C$12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"3y min–max"</c:f>
              <c:strCache>
                <c:ptCount val="1"/>
                <c:pt idx="0">
                  <c:v>3y min–max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calc'!$D$9:$D$12</c:f>
              <c:numCache>
                <c:formatCode>0.0</c:formatCode>
                <c:ptCount val="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</c:ser>
        <c:ser>
          <c:idx val="3"/>
          <c:order val="3"/>
          <c:tx>
            <c:strRef>
              <c:f>"3y mean"</c:f>
              <c:strCache>
                <c:ptCount val="1"/>
                <c:pt idx="0">
                  <c:v>3y mean</c:v>
                </c:pt>
              </c:strCache>
            </c:strRef>
          </c:tx>
          <c:spPr>
            <a:solidFill>
              <a:srgbClr val="4454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calc'!$E$9:$E$12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"Today"</c:f>
              <c:strCache>
                <c:ptCount val="1"/>
                <c:pt idx="0">
                  <c:v>Today</c:v>
                </c:pt>
              </c:strCache>
            </c:strRef>
          </c:tx>
          <c:spPr>
            <a:solidFill>
              <a:srgbClr val="db00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calc'!$F$9:$F$12</c:f>
              <c:numCache>
                <c:formatCode>0.0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</c:ser>
        <c:ser>
          <c:idx val="5"/>
          <c:order val="5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calc'!$G$9:$G$12</c:f>
              <c:numCache>
                <c:formatCode>0.0</c:formatCode>
                <c:ptCount val="4"/>
                <c:pt idx="0">
                  <c:v>29</c:v>
                </c:pt>
                <c:pt idx="1">
                  <c:v>41</c:v>
                </c:pt>
                <c:pt idx="2">
                  <c:v>7</c:v>
                </c:pt>
                <c:pt idx="3">
                  <c:v>39</c:v>
                </c:pt>
              </c:numCache>
            </c:numRef>
          </c:val>
        </c:ser>
        <c:ser>
          <c:idx val="6"/>
          <c:order val="6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b00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calc'!$H$9:$H$12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4454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calc'!$I$9:$I$12</c:f>
              <c:numCache>
                <c:formatCode>0.0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</c:ser>
        <c:ser>
          <c:idx val="8"/>
          <c:order val="8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calc'!$A$9:$A$12</c:f>
              <c:strCache>
                <c:ptCount val="4"/>
                <c:pt idx="0">
                  <c:v>Asia corporate</c:v>
                </c:pt>
                <c:pt idx="1">
                  <c:v>EM corporate</c:v>
                </c:pt>
                <c:pt idx="2">
                  <c:v>US investment grade</c:v>
                </c:pt>
                <c:pt idx="3">
                  <c:v>US high yield</c:v>
                </c:pt>
              </c:strCache>
            </c:strRef>
          </c:cat>
          <c:val>
            <c:numRef>
              <c:f>'Chart calc'!$J$9:$J$12</c:f>
              <c:numCache>
                <c:formatCode>0.0</c:formatCode>
                <c:ptCount val="4"/>
                <c:pt idx="0">
                  <c:v>100</c:v>
                </c:pt>
                <c:pt idx="1">
                  <c:v>90</c:v>
                </c:pt>
                <c:pt idx="2">
                  <c:v>40</c:v>
                </c:pt>
                <c:pt idx="3">
                  <c:v>143</c:v>
                </c:pt>
              </c:numCache>
            </c:numRef>
          </c:val>
        </c:ser>
        <c:gapWidth val="45"/>
        <c:overlap val="100"/>
        <c:axId val="137749"/>
        <c:axId val="48378684"/>
      </c:barChart>
      <c:catAx>
        <c:axId val="13774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78684"/>
        <c:crosses val="autoZero"/>
        <c:auto val="1"/>
        <c:lblAlgn val="ctr"/>
        <c:lblOffset val="100"/>
        <c:noMultiLvlLbl val="0"/>
      </c:catAx>
      <c:valAx>
        <c:axId val="48378684"/>
        <c:scaling>
          <c:orientation val="minMax"/>
          <c:max val="500"/>
          <c:min val="0"/>
        </c:scaling>
        <c:delete val="0"/>
        <c:axPos val="l"/>
        <c:majorGridlines>
          <c:spPr>
            <a:ln w="6480">
              <a:solidFill>
                <a:srgbClr val="d0cece"/>
              </a:solidFill>
              <a:round/>
            </a:ln>
          </c:spPr>
        </c:majorGridlines>
        <c:numFmt formatCode="0;\-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749"/>
        <c:crosses val="autoZero"/>
        <c:crossBetween val="between"/>
        <c:majorUnit val="10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calc'!$B$17:$B$23</c:f>
              <c:numCache>
                <c:formatCode>0.0</c:formatCode>
                <c:ptCount val="7"/>
                <c:pt idx="0">
                  <c:v>15</c:v>
                </c:pt>
                <c:pt idx="1">
                  <c:v>14</c:v>
                </c:pt>
                <c:pt idx="2">
                  <c:v>37</c:v>
                </c:pt>
                <c:pt idx="3">
                  <c:v>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calc'!$C$17:$C$23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-106</c:v>
                </c:pt>
                <c:pt idx="5">
                  <c:v>-58</c:v>
                </c:pt>
                <c:pt idx="6">
                  <c:v>-50</c:v>
                </c:pt>
              </c:numCache>
            </c:numRef>
          </c:val>
        </c:ser>
        <c:ser>
          <c:idx val="2"/>
          <c:order val="2"/>
          <c:tx>
            <c:strRef>
              <c:f>"5y min–max"</c:f>
              <c:strCache>
                <c:ptCount val="1"/>
                <c:pt idx="0">
                  <c:v>5y min–max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calc'!$D$17:$D$23</c:f>
              <c:numCache>
                <c:formatCode>0.0</c:formatCode>
                <c:ptCount val="7"/>
                <c:pt idx="0">
                  <c:v>37.5</c:v>
                </c:pt>
                <c:pt idx="1">
                  <c:v>19.5</c:v>
                </c:pt>
                <c:pt idx="2">
                  <c:v>32.5</c:v>
                </c:pt>
                <c:pt idx="3">
                  <c:v>43.5</c:v>
                </c:pt>
                <c:pt idx="4">
                  <c:v>8.5</c:v>
                </c:pt>
                <c:pt idx="5">
                  <c:v>33.5</c:v>
                </c:pt>
                <c:pt idx="6">
                  <c:v>51.5</c:v>
                </c:pt>
              </c:numCache>
            </c:numRef>
          </c:val>
        </c:ser>
        <c:ser>
          <c:idx val="3"/>
          <c:order val="3"/>
          <c:tx>
            <c:strRef>
              <c:f>"5y mean"</c:f>
              <c:strCache>
                <c:ptCount val="1"/>
                <c:pt idx="0">
                  <c:v>5y mean</c:v>
                </c:pt>
              </c:strCache>
            </c:strRef>
          </c:tx>
          <c:spPr>
            <a:solidFill>
              <a:srgbClr val="4454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calc'!$E$17:$E$23</c:f>
              <c:numCache>
                <c:formatCode>0.0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</c:ser>
        <c:ser>
          <c:idx val="4"/>
          <c:order val="4"/>
          <c:tx>
            <c:strRef>
              <c:f>"Today"</c:f>
              <c:strCache>
                <c:ptCount val="1"/>
                <c:pt idx="0">
                  <c:v>Today</c:v>
                </c:pt>
              </c:strCache>
            </c:strRef>
          </c:tx>
          <c:spPr>
            <a:solidFill>
              <a:srgbClr val="db00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calc'!$F$17:$F$23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</c:ser>
        <c:ser>
          <c:idx val="5"/>
          <c:order val="5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calc'!$G$17:$G$23</c:f>
              <c:numCache>
                <c:formatCode>0.0</c:formatCode>
                <c:ptCount val="7"/>
                <c:pt idx="0">
                  <c:v>67</c:v>
                </c:pt>
                <c:pt idx="1">
                  <c:v>34</c:v>
                </c:pt>
                <c:pt idx="2">
                  <c:v>13</c:v>
                </c:pt>
                <c:pt idx="3">
                  <c:v>13</c:v>
                </c:pt>
                <c:pt idx="4">
                  <c:v>32</c:v>
                </c:pt>
                <c:pt idx="5">
                  <c:v>86</c:v>
                </c:pt>
                <c:pt idx="6">
                  <c:v>1</c:v>
                </c:pt>
              </c:numCache>
            </c:numRef>
          </c:val>
        </c:ser>
        <c:ser>
          <c:idx val="6"/>
          <c:order val="6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b00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calc'!$H$17:$H$23</c:f>
              <c:numCache>
                <c:formatCode>0.0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</c:ser>
        <c:ser>
          <c:idx val="7"/>
          <c:order val="7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44546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calc'!$I$17:$I$23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</c:numCache>
            </c:numRef>
          </c:val>
        </c:ser>
        <c:ser>
          <c:idx val="8"/>
          <c:order val="8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solidFill>
              <a:srgbClr val="d7d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calc'!$A$17:$A$23</c:f>
              <c:strCache>
                <c:ptCount val="7"/>
                <c:pt idx="0">
                  <c:v>JGB 2s10s</c:v>
                </c:pt>
                <c:pt idx="1">
                  <c:v>JGB 5s10s</c:v>
                </c:pt>
                <c:pt idx="2">
                  <c:v>JGB 10s20s</c:v>
                </c:pt>
                <c:pt idx="3">
                  <c:v>JGB 10s30s</c:v>
                </c:pt>
                <c:pt idx="4">
                  <c:v>UST 2s10s</c:v>
                </c:pt>
                <c:pt idx="5">
                  <c:v>Korea 3m10y</c:v>
                </c:pt>
                <c:pt idx="6">
                  <c:v>Australia 3m10y</c:v>
                </c:pt>
              </c:strCache>
            </c:strRef>
          </c:cat>
          <c:val>
            <c:numRef>
              <c:f>'Chart calc'!$J$17:$J$23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8.5</c:v>
                </c:pt>
                <c:pt idx="3">
                  <c:v>25.5</c:v>
                </c:pt>
                <c:pt idx="4">
                  <c:v>73.5</c:v>
                </c:pt>
                <c:pt idx="5">
                  <c:v>35.5</c:v>
                </c:pt>
                <c:pt idx="6">
                  <c:v>197.5</c:v>
                </c:pt>
              </c:numCache>
            </c:numRef>
          </c:val>
        </c:ser>
        <c:gapWidth val="45"/>
        <c:overlap val="100"/>
        <c:axId val="28169849"/>
        <c:axId val="61803363"/>
      </c:barChart>
      <c:catAx>
        <c:axId val="2816984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3363"/>
        <c:crosses val="autoZero"/>
        <c:auto val="1"/>
        <c:lblAlgn val="ctr"/>
        <c:lblOffset val="100"/>
        <c:noMultiLvlLbl val="0"/>
      </c:catAx>
      <c:valAx>
        <c:axId val="61803363"/>
        <c:scaling>
          <c:orientation val="minMax"/>
          <c:max val="300"/>
          <c:min val="-150"/>
        </c:scaling>
        <c:delete val="0"/>
        <c:axPos val="l"/>
        <c:majorGridlines>
          <c:spPr>
            <a:ln w="6480">
              <a:solidFill>
                <a:srgbClr val="d0cece"/>
              </a:solidFill>
              <a:round/>
            </a:ln>
          </c:spPr>
        </c:majorGridlines>
        <c:numFmt formatCode="0;\-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69849"/>
        <c:crosses val="autoZero"/>
        <c:crossBetween val="between"/>
        <c:majorUnit val="5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13</xdr:col>
      <xdr:colOff>138960</xdr:colOff>
      <xdr:row>20</xdr:row>
      <xdr:rowOff>43560</xdr:rowOff>
    </xdr:to>
    <xdr:graphicFrame>
      <xdr:nvGraphicFramePr>
        <xdr:cNvPr id="0" name="Chart 1"/>
        <xdr:cNvGraphicFramePr/>
      </xdr:nvGraphicFramePr>
      <xdr:xfrm>
        <a:off x="0" y="57168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131040</xdr:rowOff>
    </xdr:from>
    <xdr:to>
      <xdr:col>13</xdr:col>
      <xdr:colOff>138960</xdr:colOff>
      <xdr:row>45</xdr:row>
      <xdr:rowOff>13680</xdr:rowOff>
    </xdr:to>
    <xdr:graphicFrame>
      <xdr:nvGraphicFramePr>
        <xdr:cNvPr id="1" name="Chart 2"/>
        <xdr:cNvGraphicFramePr/>
      </xdr:nvGraphicFramePr>
      <xdr:xfrm>
        <a:off x="0" y="5295960"/>
        <a:ext cx="6299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8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</row>
    <row r="8" customFormat="false" ht="15" hidden="false" customHeight="false" outlineLevel="0" collapsed="false">
      <c r="A8" s="7" t="s">
        <v>14</v>
      </c>
      <c r="B8" s="8" t="n">
        <v>76</v>
      </c>
      <c r="C8" s="8" t="n">
        <v>219</v>
      </c>
      <c r="D8" s="8" t="n">
        <v>117</v>
      </c>
      <c r="E8" s="8" t="n">
        <v>82</v>
      </c>
      <c r="F8" s="9" t="n">
        <v>6</v>
      </c>
      <c r="G8" s="10" t="n">
        <f aca="false">IFERROR((E8-B8)/(C8-B8),"")</f>
        <v>0.041958041958042</v>
      </c>
      <c r="H8" s="11" t="s">
        <v>15</v>
      </c>
      <c r="I8" s="11" t="s">
        <v>16</v>
      </c>
    </row>
    <row r="9" customFormat="false" ht="15" hidden="false" customHeight="false" outlineLevel="0" collapsed="false">
      <c r="A9" s="12" t="s">
        <v>17</v>
      </c>
      <c r="B9" s="13" t="n">
        <v>138</v>
      </c>
      <c r="C9" s="13" t="n">
        <v>281</v>
      </c>
      <c r="D9" s="13" t="n">
        <v>186</v>
      </c>
      <c r="E9" s="13" t="n">
        <v>139</v>
      </c>
      <c r="F9" s="14" t="n">
        <v>0</v>
      </c>
      <c r="G9" s="15" t="n">
        <f aca="false">IFERROR((E9-B9)/(C9-B9),"")</f>
        <v>0.00699300699300699</v>
      </c>
      <c r="H9" s="16" t="s">
        <v>15</v>
      </c>
      <c r="I9" s="16" t="s">
        <v>16</v>
      </c>
    </row>
    <row r="10" customFormat="false" ht="15" hidden="false" customHeight="false" outlineLevel="0" collapsed="false">
      <c r="A10" s="7" t="s">
        <v>18</v>
      </c>
      <c r="B10" s="8" t="n">
        <v>73</v>
      </c>
      <c r="C10" s="8" t="n">
        <v>133</v>
      </c>
      <c r="D10" s="8" t="n">
        <v>91</v>
      </c>
      <c r="E10" s="8" t="n">
        <v>78</v>
      </c>
      <c r="F10" s="9" t="n">
        <v>13</v>
      </c>
      <c r="G10" s="10" t="n">
        <f aca="false">IFERROR((E10-B10)/(C10-B10),"")</f>
        <v>0.0833333333333333</v>
      </c>
      <c r="H10" s="11" t="s">
        <v>15</v>
      </c>
      <c r="I10" s="11" t="s">
        <v>16</v>
      </c>
    </row>
    <row r="11" customFormat="false" ht="15" hidden="false" customHeight="false" outlineLevel="0" collapsed="false">
      <c r="A11" s="12" t="s">
        <v>19</v>
      </c>
      <c r="B11" s="13" t="n">
        <v>259</v>
      </c>
      <c r="C11" s="13" t="n">
        <v>461</v>
      </c>
      <c r="D11" s="13" t="n">
        <v>316</v>
      </c>
      <c r="E11" s="13" t="n">
        <v>271</v>
      </c>
      <c r="F11" s="14" t="n">
        <v>9</v>
      </c>
      <c r="G11" s="15" t="n">
        <f aca="false">IFERROR((E11-B11)/(C11-B11),"")</f>
        <v>0.0594059405940594</v>
      </c>
      <c r="H11" s="16" t="s">
        <v>15</v>
      </c>
      <c r="I11" s="16" t="s">
        <v>16</v>
      </c>
    </row>
    <row r="13" customFormat="false" ht="15" hidden="false" customHeight="false" outlineLevel="0" collapsed="false">
      <c r="A13" s="4" t="s">
        <v>20</v>
      </c>
    </row>
    <row r="14" customFormat="false" ht="15" hidden="false" customHeight="false" outlineLevel="0" collapsed="false">
      <c r="A14" s="2" t="s">
        <v>21</v>
      </c>
    </row>
    <row r="15" customFormat="false" ht="23.85" hidden="false" customHeight="false" outlineLevel="0" collapsed="false">
      <c r="A15" s="5" t="s">
        <v>5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  <c r="I15" s="6" t="s">
        <v>13</v>
      </c>
    </row>
    <row r="16" customFormat="false" ht="15" hidden="false" customHeight="false" outlineLevel="0" collapsed="false">
      <c r="A16" s="7" t="s">
        <v>22</v>
      </c>
      <c r="B16" s="8" t="n">
        <v>15</v>
      </c>
      <c r="C16" s="8" t="n">
        <v>126</v>
      </c>
      <c r="D16" s="8" t="n">
        <v>54</v>
      </c>
      <c r="E16" s="8" t="n">
        <v>126</v>
      </c>
      <c r="F16" s="9" t="n">
        <v>98</v>
      </c>
      <c r="G16" s="10" t="n">
        <f aca="false">IFERROR((E16-B16)/(C16-B16),"")</f>
        <v>1</v>
      </c>
      <c r="H16" s="11" t="s">
        <v>23</v>
      </c>
      <c r="I16" s="11" t="s">
        <v>24</v>
      </c>
    </row>
    <row r="17" customFormat="false" ht="15" hidden="false" customHeight="false" outlineLevel="0" collapsed="false">
      <c r="A17" s="12" t="s">
        <v>25</v>
      </c>
      <c r="B17" s="13" t="n">
        <v>14</v>
      </c>
      <c r="C17" s="13" t="n">
        <v>74</v>
      </c>
      <c r="D17" s="13" t="n">
        <v>35</v>
      </c>
      <c r="E17" s="13" t="n">
        <v>74</v>
      </c>
      <c r="F17" s="14" t="n">
        <v>98</v>
      </c>
      <c r="G17" s="15" t="n">
        <f aca="false">IFERROR((E17-B17)/(C17-B17),"")</f>
        <v>1</v>
      </c>
      <c r="H17" s="16" t="s">
        <v>23</v>
      </c>
      <c r="I17" s="16" t="s">
        <v>24</v>
      </c>
    </row>
    <row r="18" customFormat="false" ht="15" hidden="false" customHeight="false" outlineLevel="0" collapsed="false">
      <c r="A18" s="7" t="s">
        <v>26</v>
      </c>
      <c r="B18" s="8" t="n">
        <v>37</v>
      </c>
      <c r="C18" s="8" t="n">
        <v>101</v>
      </c>
      <c r="D18" s="8" t="n">
        <v>71</v>
      </c>
      <c r="E18" s="8" t="n">
        <v>89</v>
      </c>
      <c r="F18" s="9" t="n">
        <v>82</v>
      </c>
      <c r="G18" s="10" t="n">
        <f aca="false">IFERROR((E18-B18)/(C18-B18),"")</f>
        <v>0.8125</v>
      </c>
      <c r="H18" s="11" t="s">
        <v>23</v>
      </c>
      <c r="I18" s="11" t="s">
        <v>24</v>
      </c>
    </row>
    <row r="19" customFormat="false" ht="15" hidden="false" customHeight="false" outlineLevel="0" collapsed="false">
      <c r="A19" s="12" t="s">
        <v>27</v>
      </c>
      <c r="B19" s="13" t="n">
        <v>57</v>
      </c>
      <c r="C19" s="13" t="n">
        <v>149</v>
      </c>
      <c r="D19" s="13" t="n">
        <v>102</v>
      </c>
      <c r="E19" s="13" t="n">
        <v>120</v>
      </c>
      <c r="F19" s="14" t="n">
        <v>75</v>
      </c>
      <c r="G19" s="15" t="n">
        <f aca="false">IFERROR((E19-B19)/(C19-B19),"")</f>
        <v>0.684782608695652</v>
      </c>
      <c r="H19" s="16" t="s">
        <v>23</v>
      </c>
      <c r="I19" s="16" t="s">
        <v>24</v>
      </c>
    </row>
    <row r="20" customFormat="false" ht="15" hidden="false" customHeight="false" outlineLevel="0" collapsed="false">
      <c r="A20" s="7" t="s">
        <v>28</v>
      </c>
      <c r="B20" s="8" t="n">
        <v>-106</v>
      </c>
      <c r="C20" s="8" t="n">
        <v>124</v>
      </c>
      <c r="D20" s="8" t="n">
        <v>10</v>
      </c>
      <c r="E20" s="8" t="n">
        <v>47</v>
      </c>
      <c r="F20" s="9" t="n">
        <v>65</v>
      </c>
      <c r="G20" s="10" t="n">
        <f aca="false">IFERROR((E20-B20)/(C20-B20),"")</f>
        <v>0.665217391304348</v>
      </c>
      <c r="H20" s="11" t="s">
        <v>23</v>
      </c>
      <c r="I20" s="11" t="s">
        <v>24</v>
      </c>
    </row>
    <row r="21" customFormat="false" ht="15" hidden="false" customHeight="false" outlineLevel="0" collapsed="false">
      <c r="A21" s="12" t="s">
        <v>29</v>
      </c>
      <c r="B21" s="13" t="n">
        <v>-58</v>
      </c>
      <c r="C21" s="13" t="n">
        <v>165</v>
      </c>
      <c r="D21" s="13" t="n">
        <v>35</v>
      </c>
      <c r="E21" s="13" t="n">
        <v>126</v>
      </c>
      <c r="F21" s="14" t="n">
        <v>87</v>
      </c>
      <c r="G21" s="15" t="n">
        <f aca="false">IFERROR((E21-B21)/(C21-B21),"")</f>
        <v>0.825112107623318</v>
      </c>
      <c r="H21" s="16" t="s">
        <v>23</v>
      </c>
      <c r="I21" s="16" t="s">
        <v>24</v>
      </c>
    </row>
    <row r="22" customFormat="false" ht="15" hidden="false" customHeight="false" outlineLevel="0" collapsed="false">
      <c r="A22" s="7" t="s">
        <v>30</v>
      </c>
      <c r="B22" s="8" t="n">
        <v>-50</v>
      </c>
      <c r="C22" s="8" t="n">
        <v>260</v>
      </c>
      <c r="D22" s="8" t="n">
        <v>61</v>
      </c>
      <c r="E22" s="8" t="n">
        <v>55</v>
      </c>
      <c r="F22" s="9" t="n">
        <v>50</v>
      </c>
      <c r="G22" s="10" t="n">
        <f aca="false">IFERROR((E22-B22)/(C22-B22),"")</f>
        <v>0.338709677419355</v>
      </c>
      <c r="H22" s="11" t="s">
        <v>23</v>
      </c>
      <c r="I22" s="11" t="s">
        <v>24</v>
      </c>
    </row>
    <row r="24" customFormat="false" ht="15" hidden="false" customHeight="false" outlineLevel="0" collapsed="false">
      <c r="A24" s="17" t="s">
        <v>31</v>
      </c>
    </row>
    <row r="25" customFormat="false" ht="15" hidden="false" customHeight="false" outlineLevel="0" collapsed="false">
      <c r="A25" s="18" t="s">
        <v>32</v>
      </c>
    </row>
    <row r="26" customFormat="false" ht="15" hidden="false" customHeight="false" outlineLevel="0" collapsed="false">
      <c r="A26" s="18" t="s">
        <v>33</v>
      </c>
    </row>
    <row r="27" customFormat="false" ht="15" hidden="false" customHeight="false" outlineLevel="0" collapsed="false">
      <c r="A27" s="18" t="s">
        <v>34</v>
      </c>
    </row>
    <row r="28" customFormat="false" ht="15" hidden="false" customHeight="false" outlineLevel="0" collapsed="false">
      <c r="A28" s="18" t="s">
        <v>35</v>
      </c>
    </row>
    <row r="29" customFormat="false" ht="15" hidden="false" customHeight="false" outlineLevel="0" collapsed="false">
      <c r="A29" s="18" t="s">
        <v>36</v>
      </c>
    </row>
    <row r="30" customFormat="false" ht="15" hidden="false" customHeight="false" outlineLevel="0" collapsed="false">
      <c r="A30" s="18" t="s">
        <v>37</v>
      </c>
    </row>
    <row r="31" customFormat="false" ht="15" hidden="false" customHeight="false" outlineLevel="0" collapsed="false">
      <c r="A31" s="18" t="s">
        <v>38</v>
      </c>
    </row>
    <row r="32" customFormat="false" ht="15" hidden="false" customHeight="false" outlineLevel="0" collapsed="false">
      <c r="A32" s="1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46.25" hidden="false" customHeight="false" outlineLevel="0" collapsed="false">
      <c r="A4" s="6" t="s">
        <v>42</v>
      </c>
      <c r="B4" s="6" t="s">
        <v>43</v>
      </c>
      <c r="C4" s="6" t="s">
        <v>44</v>
      </c>
      <c r="D4" s="6" t="s">
        <v>45</v>
      </c>
    </row>
    <row r="5" customFormat="false" ht="15" hidden="false" customHeight="false" outlineLevel="0" collapsed="false">
      <c r="A5" s="17" t="s">
        <v>46</v>
      </c>
      <c r="B5" s="19" t="n">
        <v>0</v>
      </c>
      <c r="C5" s="19" t="n">
        <v>4</v>
      </c>
      <c r="D5" s="19" t="n">
        <v>8</v>
      </c>
      <c r="E5" s="18" t="s">
        <v>47</v>
      </c>
    </row>
    <row r="6" customFormat="false" ht="15" hidden="false" customHeight="false" outlineLevel="0" collapsed="false">
      <c r="A6" s="17" t="s">
        <v>48</v>
      </c>
      <c r="B6" s="19" t="n">
        <v>-150</v>
      </c>
      <c r="C6" s="19" t="n">
        <v>3</v>
      </c>
      <c r="D6" s="19" t="n">
        <v>7</v>
      </c>
    </row>
    <row r="8" customFormat="false" ht="23.85" hidden="false" customHeight="false" outlineLevel="0" collapsed="false">
      <c r="A8" s="6" t="s">
        <v>5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6" t="s">
        <v>55</v>
      </c>
      <c r="I8" s="6" t="s">
        <v>56</v>
      </c>
      <c r="J8" s="6" t="s">
        <v>57</v>
      </c>
    </row>
    <row r="9" customFormat="false" ht="15" hidden="false" customHeight="false" outlineLevel="0" collapsed="false">
      <c r="A9" s="20" t="str">
        <f aca="false">Data!A8</f>
        <v>Asia corporate</v>
      </c>
      <c r="B9" s="21" t="n">
        <f aca="false">MAX(0,Data!B8)</f>
        <v>76</v>
      </c>
      <c r="C9" s="21" t="n">
        <f aca="false">MIN(0,Data!B8)</f>
        <v>0</v>
      </c>
      <c r="D9" s="21" t="n">
        <f aca="false">MAX(0,MIN(Data!D8,Data!E8)-IF(Data!D8&lt;=Data!E8,$C$5,$D$5)/2-MAX(0,Data!B8))</f>
        <v>2</v>
      </c>
      <c r="E9" s="21" t="n">
        <f aca="false">IF(Data!D8&lt;=Data!E8,$C$5,0)</f>
        <v>0</v>
      </c>
      <c r="F9" s="21" t="n">
        <f aca="false">IF(Data!D8&lt;=Data!E8,0,$D$5)</f>
        <v>8</v>
      </c>
      <c r="G9" s="21" t="n">
        <f aca="false">MAX(0,MAX(Data!D8,Data!E8)-IF(Data!D8&lt;=Data!E8,$D$5,$C$5)/2-(MIN(Data!D8,Data!E8)+IF(Data!D8&lt;=Data!E8,$C$5,$D$5)/2))</f>
        <v>29</v>
      </c>
      <c r="H9" s="21" t="n">
        <f aca="false">IF(Data!D8&lt;=Data!E8,$D$5,0)</f>
        <v>0</v>
      </c>
      <c r="I9" s="21" t="n">
        <f aca="false">IF(Data!D8&lt;=Data!E8,0,$C$5)</f>
        <v>4</v>
      </c>
      <c r="J9" s="21" t="n">
        <f aca="false">MAX(0,Data!C8-SUMIF(B9:I9,"&gt;0"))</f>
        <v>100</v>
      </c>
    </row>
    <row r="10" customFormat="false" ht="15" hidden="false" customHeight="false" outlineLevel="0" collapsed="false">
      <c r="A10" s="20" t="str">
        <f aca="false">Data!A9</f>
        <v>EM corporate</v>
      </c>
      <c r="B10" s="21" t="n">
        <f aca="false">MAX(0,Data!B9)</f>
        <v>138</v>
      </c>
      <c r="C10" s="21" t="n">
        <f aca="false">MIN(0,Data!B9)</f>
        <v>0</v>
      </c>
      <c r="D10" s="21" t="n">
        <f aca="false">MAX(0,MIN(Data!D9,Data!E9)-IF(Data!D9&lt;=Data!E9,$C$5,$D$5)/2-MAX(0,Data!B9))</f>
        <v>0</v>
      </c>
      <c r="E10" s="21" t="n">
        <f aca="false">IF(Data!D9&lt;=Data!E9,$C$5,0)</f>
        <v>0</v>
      </c>
      <c r="F10" s="21" t="n">
        <f aca="false">IF(Data!D9&lt;=Data!E9,0,$D$5)</f>
        <v>8</v>
      </c>
      <c r="G10" s="21" t="n">
        <f aca="false">MAX(0,MAX(Data!D9,Data!E9)-IF(Data!D9&lt;=Data!E9,$D$5,$C$5)/2-(MIN(Data!D9,Data!E9)+IF(Data!D9&lt;=Data!E9,$C$5,$D$5)/2))</f>
        <v>41</v>
      </c>
      <c r="H10" s="21" t="n">
        <f aca="false">IF(Data!D9&lt;=Data!E9,$D$5,0)</f>
        <v>0</v>
      </c>
      <c r="I10" s="21" t="n">
        <f aca="false">IF(Data!D9&lt;=Data!E9,0,$C$5)</f>
        <v>4</v>
      </c>
      <c r="J10" s="21" t="n">
        <f aca="false">MAX(0,Data!C9-SUMIF(B10:I10,"&gt;0"))</f>
        <v>90</v>
      </c>
    </row>
    <row r="11" customFormat="false" ht="15" hidden="false" customHeight="false" outlineLevel="0" collapsed="false">
      <c r="A11" s="20" t="str">
        <f aca="false">Data!A10</f>
        <v>US investment grade</v>
      </c>
      <c r="B11" s="21" t="n">
        <f aca="false">MAX(0,Data!B10)</f>
        <v>73</v>
      </c>
      <c r="C11" s="21" t="n">
        <f aca="false">MIN(0,Data!B10)</f>
        <v>0</v>
      </c>
      <c r="D11" s="21" t="n">
        <f aca="false">MAX(0,MIN(Data!D10,Data!E10)-IF(Data!D10&lt;=Data!E10,$C$5,$D$5)/2-MAX(0,Data!B10))</f>
        <v>1</v>
      </c>
      <c r="E11" s="21" t="n">
        <f aca="false">IF(Data!D10&lt;=Data!E10,$C$5,0)</f>
        <v>0</v>
      </c>
      <c r="F11" s="21" t="n">
        <f aca="false">IF(Data!D10&lt;=Data!E10,0,$D$5)</f>
        <v>8</v>
      </c>
      <c r="G11" s="21" t="n">
        <f aca="false">MAX(0,MAX(Data!D10,Data!E10)-IF(Data!D10&lt;=Data!E10,$D$5,$C$5)/2-(MIN(Data!D10,Data!E10)+IF(Data!D10&lt;=Data!E10,$C$5,$D$5)/2))</f>
        <v>7</v>
      </c>
      <c r="H11" s="21" t="n">
        <f aca="false">IF(Data!D10&lt;=Data!E10,$D$5,0)</f>
        <v>0</v>
      </c>
      <c r="I11" s="21" t="n">
        <f aca="false">IF(Data!D10&lt;=Data!E10,0,$C$5)</f>
        <v>4</v>
      </c>
      <c r="J11" s="21" t="n">
        <f aca="false">MAX(0,Data!C10-SUMIF(B11:I11,"&gt;0"))</f>
        <v>40</v>
      </c>
    </row>
    <row r="12" customFormat="false" ht="15" hidden="false" customHeight="false" outlineLevel="0" collapsed="false">
      <c r="A12" s="20" t="str">
        <f aca="false">Data!A11</f>
        <v>US high yield</v>
      </c>
      <c r="B12" s="21" t="n">
        <f aca="false">MAX(0,Data!B11)</f>
        <v>259</v>
      </c>
      <c r="C12" s="21" t="n">
        <f aca="false">MIN(0,Data!B11)</f>
        <v>0</v>
      </c>
      <c r="D12" s="21" t="n">
        <f aca="false">MAX(0,MIN(Data!D11,Data!E11)-IF(Data!D11&lt;=Data!E11,$C$5,$D$5)/2-MAX(0,Data!B11))</f>
        <v>8</v>
      </c>
      <c r="E12" s="21" t="n">
        <f aca="false">IF(Data!D11&lt;=Data!E11,$C$5,0)</f>
        <v>0</v>
      </c>
      <c r="F12" s="21" t="n">
        <f aca="false">IF(Data!D11&lt;=Data!E11,0,$D$5)</f>
        <v>8</v>
      </c>
      <c r="G12" s="21" t="n">
        <f aca="false">MAX(0,MAX(Data!D11,Data!E11)-IF(Data!D11&lt;=Data!E11,$D$5,$C$5)/2-(MIN(Data!D11,Data!E11)+IF(Data!D11&lt;=Data!E11,$C$5,$D$5)/2))</f>
        <v>39</v>
      </c>
      <c r="H12" s="21" t="n">
        <f aca="false">IF(Data!D11&lt;=Data!E11,$D$5,0)</f>
        <v>0</v>
      </c>
      <c r="I12" s="21" t="n">
        <f aca="false">IF(Data!D11&lt;=Data!E11,0,$C$5)</f>
        <v>4</v>
      </c>
      <c r="J12" s="21" t="n">
        <f aca="false">MAX(0,Data!C11-SUMIF(B12:I12,"&gt;0"))</f>
        <v>143</v>
      </c>
    </row>
    <row r="16" customFormat="false" ht="23.85" hidden="false" customHeight="false" outlineLevel="0" collapsed="false">
      <c r="A16" s="6" t="s">
        <v>5</v>
      </c>
      <c r="B16" s="6" t="s">
        <v>49</v>
      </c>
      <c r="C16" s="6" t="s">
        <v>50</v>
      </c>
      <c r="D16" s="6" t="s">
        <v>51</v>
      </c>
      <c r="E16" s="6" t="s">
        <v>52</v>
      </c>
      <c r="F16" s="6" t="s">
        <v>53</v>
      </c>
      <c r="G16" s="6" t="s">
        <v>54</v>
      </c>
      <c r="H16" s="6" t="s">
        <v>55</v>
      </c>
      <c r="I16" s="6" t="s">
        <v>56</v>
      </c>
      <c r="J16" s="6" t="s">
        <v>57</v>
      </c>
    </row>
    <row r="17" customFormat="false" ht="15" hidden="false" customHeight="false" outlineLevel="0" collapsed="false">
      <c r="A17" s="20" t="str">
        <f aca="false">Data!A16</f>
        <v>JGB 2s10s</v>
      </c>
      <c r="B17" s="21" t="n">
        <f aca="false">MAX(0,Data!B16)</f>
        <v>15</v>
      </c>
      <c r="C17" s="21" t="n">
        <f aca="false">MIN(0,Data!B16)</f>
        <v>0</v>
      </c>
      <c r="D17" s="21" t="n">
        <f aca="false">MAX(0,MIN(Data!D16,Data!E16)-IF(Data!D16&lt;=Data!E16,$C$6,$D$6)/2-MAX(0,Data!B16))</f>
        <v>37.5</v>
      </c>
      <c r="E17" s="21" t="n">
        <f aca="false">IF(Data!D16&lt;=Data!E16,$C$6,0)</f>
        <v>3</v>
      </c>
      <c r="F17" s="21" t="n">
        <f aca="false">IF(Data!D16&lt;=Data!E16,0,$D$6)</f>
        <v>0</v>
      </c>
      <c r="G17" s="21" t="n">
        <f aca="false">MAX(0,MAX(Data!D16,Data!E16)-IF(Data!D16&lt;=Data!E16,$D$6,$C$6)/2-(MIN(Data!D16,Data!E16)+IF(Data!D16&lt;=Data!E16,$C$6,$D$6)/2))</f>
        <v>67</v>
      </c>
      <c r="H17" s="21" t="n">
        <f aca="false">IF(Data!D16&lt;=Data!E16,$D$6,0)</f>
        <v>7</v>
      </c>
      <c r="I17" s="21" t="n">
        <f aca="false">IF(Data!D16&lt;=Data!E16,0,$C$6)</f>
        <v>0</v>
      </c>
      <c r="J17" s="21" t="n">
        <f aca="false">MAX(0,Data!C16-SUMIF(B17:I17,"&gt;0"))</f>
        <v>0</v>
      </c>
    </row>
    <row r="18" customFormat="false" ht="15" hidden="false" customHeight="false" outlineLevel="0" collapsed="false">
      <c r="A18" s="20" t="str">
        <f aca="false">Data!A17</f>
        <v>JGB 5s10s</v>
      </c>
      <c r="B18" s="21" t="n">
        <f aca="false">MAX(0,Data!B17)</f>
        <v>14</v>
      </c>
      <c r="C18" s="21" t="n">
        <f aca="false">MIN(0,Data!B17)</f>
        <v>0</v>
      </c>
      <c r="D18" s="21" t="n">
        <f aca="false">MAX(0,MIN(Data!D17,Data!E17)-IF(Data!D17&lt;=Data!E17,$C$6,$D$6)/2-MAX(0,Data!B17))</f>
        <v>19.5</v>
      </c>
      <c r="E18" s="21" t="n">
        <f aca="false">IF(Data!D17&lt;=Data!E17,$C$6,0)</f>
        <v>3</v>
      </c>
      <c r="F18" s="21" t="n">
        <f aca="false">IF(Data!D17&lt;=Data!E17,0,$D$6)</f>
        <v>0</v>
      </c>
      <c r="G18" s="21" t="n">
        <f aca="false">MAX(0,MAX(Data!D17,Data!E17)-IF(Data!D17&lt;=Data!E17,$D$6,$C$6)/2-(MIN(Data!D17,Data!E17)+IF(Data!D17&lt;=Data!E17,$C$6,$D$6)/2))</f>
        <v>34</v>
      </c>
      <c r="H18" s="21" t="n">
        <f aca="false">IF(Data!D17&lt;=Data!E17,$D$6,0)</f>
        <v>7</v>
      </c>
      <c r="I18" s="21" t="n">
        <f aca="false">IF(Data!D17&lt;=Data!E17,0,$C$6)</f>
        <v>0</v>
      </c>
      <c r="J18" s="21" t="n">
        <f aca="false">MAX(0,Data!C17-SUMIF(B18:I18,"&gt;0"))</f>
        <v>0</v>
      </c>
    </row>
    <row r="19" customFormat="false" ht="15" hidden="false" customHeight="false" outlineLevel="0" collapsed="false">
      <c r="A19" s="20" t="str">
        <f aca="false">Data!A18</f>
        <v>JGB 10s20s</v>
      </c>
      <c r="B19" s="21" t="n">
        <f aca="false">MAX(0,Data!B18)</f>
        <v>37</v>
      </c>
      <c r="C19" s="21" t="n">
        <f aca="false">MIN(0,Data!B18)</f>
        <v>0</v>
      </c>
      <c r="D19" s="21" t="n">
        <f aca="false">MAX(0,MIN(Data!D18,Data!E18)-IF(Data!D18&lt;=Data!E18,$C$6,$D$6)/2-MAX(0,Data!B18))</f>
        <v>32.5</v>
      </c>
      <c r="E19" s="21" t="n">
        <f aca="false">IF(Data!D18&lt;=Data!E18,$C$6,0)</f>
        <v>3</v>
      </c>
      <c r="F19" s="21" t="n">
        <f aca="false">IF(Data!D18&lt;=Data!E18,0,$D$6)</f>
        <v>0</v>
      </c>
      <c r="G19" s="21" t="n">
        <f aca="false">MAX(0,MAX(Data!D18,Data!E18)-IF(Data!D18&lt;=Data!E18,$D$6,$C$6)/2-(MIN(Data!D18,Data!E18)+IF(Data!D18&lt;=Data!E18,$C$6,$D$6)/2))</f>
        <v>13</v>
      </c>
      <c r="H19" s="21" t="n">
        <f aca="false">IF(Data!D18&lt;=Data!E18,$D$6,0)</f>
        <v>7</v>
      </c>
      <c r="I19" s="21" t="n">
        <f aca="false">IF(Data!D18&lt;=Data!E18,0,$C$6)</f>
        <v>0</v>
      </c>
      <c r="J19" s="21" t="n">
        <f aca="false">MAX(0,Data!C18-SUMIF(B19:I19,"&gt;0"))</f>
        <v>8.5</v>
      </c>
    </row>
    <row r="20" customFormat="false" ht="15" hidden="false" customHeight="false" outlineLevel="0" collapsed="false">
      <c r="A20" s="20" t="str">
        <f aca="false">Data!A19</f>
        <v>JGB 10s30s</v>
      </c>
      <c r="B20" s="21" t="n">
        <f aca="false">MAX(0,Data!B19)</f>
        <v>57</v>
      </c>
      <c r="C20" s="21" t="n">
        <f aca="false">MIN(0,Data!B19)</f>
        <v>0</v>
      </c>
      <c r="D20" s="21" t="n">
        <f aca="false">MAX(0,MIN(Data!D19,Data!E19)-IF(Data!D19&lt;=Data!E19,$C$6,$D$6)/2-MAX(0,Data!B19))</f>
        <v>43.5</v>
      </c>
      <c r="E20" s="21" t="n">
        <f aca="false">IF(Data!D19&lt;=Data!E19,$C$6,0)</f>
        <v>3</v>
      </c>
      <c r="F20" s="21" t="n">
        <f aca="false">IF(Data!D19&lt;=Data!E19,0,$D$6)</f>
        <v>0</v>
      </c>
      <c r="G20" s="21" t="n">
        <f aca="false">MAX(0,MAX(Data!D19,Data!E19)-IF(Data!D19&lt;=Data!E19,$D$6,$C$6)/2-(MIN(Data!D19,Data!E19)+IF(Data!D19&lt;=Data!E19,$C$6,$D$6)/2))</f>
        <v>13</v>
      </c>
      <c r="H20" s="21" t="n">
        <f aca="false">IF(Data!D19&lt;=Data!E19,$D$6,0)</f>
        <v>7</v>
      </c>
      <c r="I20" s="21" t="n">
        <f aca="false">IF(Data!D19&lt;=Data!E19,0,$C$6)</f>
        <v>0</v>
      </c>
      <c r="J20" s="21" t="n">
        <f aca="false">MAX(0,Data!C19-SUMIF(B20:I20,"&gt;0"))</f>
        <v>25.5</v>
      </c>
    </row>
    <row r="21" customFormat="false" ht="15" hidden="false" customHeight="false" outlineLevel="0" collapsed="false">
      <c r="A21" s="20" t="str">
        <f aca="false">Data!A20</f>
        <v>UST 2s10s</v>
      </c>
      <c r="B21" s="21" t="n">
        <f aca="false">MAX(0,Data!B20)</f>
        <v>0</v>
      </c>
      <c r="C21" s="21" t="n">
        <f aca="false">MIN(0,Data!B20)</f>
        <v>-106</v>
      </c>
      <c r="D21" s="21" t="n">
        <f aca="false">MAX(0,MIN(Data!D20,Data!E20)-IF(Data!D20&lt;=Data!E20,$C$6,$D$6)/2-MAX(0,Data!B20))</f>
        <v>8.5</v>
      </c>
      <c r="E21" s="21" t="n">
        <f aca="false">IF(Data!D20&lt;=Data!E20,$C$6,0)</f>
        <v>3</v>
      </c>
      <c r="F21" s="21" t="n">
        <f aca="false">IF(Data!D20&lt;=Data!E20,0,$D$6)</f>
        <v>0</v>
      </c>
      <c r="G21" s="21" t="n">
        <f aca="false">MAX(0,MAX(Data!D20,Data!E20)-IF(Data!D20&lt;=Data!E20,$D$6,$C$6)/2-(MIN(Data!D20,Data!E20)+IF(Data!D20&lt;=Data!E20,$C$6,$D$6)/2))</f>
        <v>32</v>
      </c>
      <c r="H21" s="21" t="n">
        <f aca="false">IF(Data!D20&lt;=Data!E20,$D$6,0)</f>
        <v>7</v>
      </c>
      <c r="I21" s="21" t="n">
        <f aca="false">IF(Data!D20&lt;=Data!E20,0,$C$6)</f>
        <v>0</v>
      </c>
      <c r="J21" s="21" t="n">
        <f aca="false">MAX(0,Data!C20-SUMIF(B21:I21,"&gt;0"))</f>
        <v>73.5</v>
      </c>
    </row>
    <row r="22" customFormat="false" ht="15" hidden="false" customHeight="false" outlineLevel="0" collapsed="false">
      <c r="A22" s="20" t="str">
        <f aca="false">Data!A21</f>
        <v>Korea 3m10y</v>
      </c>
      <c r="B22" s="21" t="n">
        <f aca="false">MAX(0,Data!B21)</f>
        <v>0</v>
      </c>
      <c r="C22" s="21" t="n">
        <f aca="false">MIN(0,Data!B21)</f>
        <v>-58</v>
      </c>
      <c r="D22" s="21" t="n">
        <f aca="false">MAX(0,MIN(Data!D21,Data!E21)-IF(Data!D21&lt;=Data!E21,$C$6,$D$6)/2-MAX(0,Data!B21))</f>
        <v>33.5</v>
      </c>
      <c r="E22" s="21" t="n">
        <f aca="false">IF(Data!D21&lt;=Data!E21,$C$6,0)</f>
        <v>3</v>
      </c>
      <c r="F22" s="21" t="n">
        <f aca="false">IF(Data!D21&lt;=Data!E21,0,$D$6)</f>
        <v>0</v>
      </c>
      <c r="G22" s="21" t="n">
        <f aca="false">MAX(0,MAX(Data!D21,Data!E21)-IF(Data!D21&lt;=Data!E21,$D$6,$C$6)/2-(MIN(Data!D21,Data!E21)+IF(Data!D21&lt;=Data!E21,$C$6,$D$6)/2))</f>
        <v>86</v>
      </c>
      <c r="H22" s="21" t="n">
        <f aca="false">IF(Data!D21&lt;=Data!E21,$D$6,0)</f>
        <v>7</v>
      </c>
      <c r="I22" s="21" t="n">
        <f aca="false">IF(Data!D21&lt;=Data!E21,0,$C$6)</f>
        <v>0</v>
      </c>
      <c r="J22" s="21" t="n">
        <f aca="false">MAX(0,Data!C21-SUMIF(B22:I22,"&gt;0"))</f>
        <v>35.5</v>
      </c>
    </row>
    <row r="23" customFormat="false" ht="15" hidden="false" customHeight="false" outlineLevel="0" collapsed="false">
      <c r="A23" s="20" t="str">
        <f aca="false">Data!A22</f>
        <v>Australia 3m10y</v>
      </c>
      <c r="B23" s="21" t="n">
        <f aca="false">MAX(0,Data!B22)</f>
        <v>0</v>
      </c>
      <c r="C23" s="21" t="n">
        <f aca="false">MIN(0,Data!B22)</f>
        <v>-50</v>
      </c>
      <c r="D23" s="21" t="n">
        <f aca="false">MAX(0,MIN(Data!D22,Data!E22)-IF(Data!D22&lt;=Data!E22,$C$6,$D$6)/2-MAX(0,Data!B22))</f>
        <v>51.5</v>
      </c>
      <c r="E23" s="21" t="n">
        <f aca="false">IF(Data!D22&lt;=Data!E22,$C$6,0)</f>
        <v>0</v>
      </c>
      <c r="F23" s="21" t="n">
        <f aca="false">IF(Data!D22&lt;=Data!E22,0,$D$6)</f>
        <v>7</v>
      </c>
      <c r="G23" s="21" t="n">
        <f aca="false">MAX(0,MAX(Data!D22,Data!E22)-IF(Data!D22&lt;=Data!E22,$D$6,$C$6)/2-(MIN(Data!D22,Data!E22)+IF(Data!D22&lt;=Data!E22,$C$6,$D$6)/2))</f>
        <v>1</v>
      </c>
      <c r="H23" s="21" t="n">
        <f aca="false">IF(Data!D22&lt;=Data!E22,$D$6,0)</f>
        <v>0</v>
      </c>
      <c r="I23" s="21" t="n">
        <f aca="false">IF(Data!D22&lt;=Data!E22,0,$C$6)</f>
        <v>3</v>
      </c>
      <c r="J23" s="21" t="n">
        <f aca="false">MAX(0,Data!C22-SUMIF(B23:I23,"&gt;0"))</f>
        <v>197.5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.4"/>
    <col collapsed="false" customWidth="true" hidden="false" outlineLevel="0" max="4" min="4" style="0" width="11"/>
    <col collapsed="false" customWidth="true" hidden="false" outlineLevel="0" max="6" min="5" style="0" width="2.4"/>
    <col collapsed="false" customWidth="true" hidden="false" outlineLevel="0" max="7" min="7" style="0" width="11"/>
    <col collapsed="false" customWidth="true" hidden="false" outlineLevel="0" max="9" min="8" style="0" width="2.4"/>
    <col collapsed="false" customWidth="true" hidden="false" outlineLevel="0" max="10" min="10" style="0" width="11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2" t="s">
        <v>58</v>
      </c>
    </row>
    <row r="23" customFormat="false" ht="12" hidden="false" customHeight="true" outlineLevel="0" collapsed="false">
      <c r="B23" s="23"/>
      <c r="D23" s="2" t="s">
        <v>59</v>
      </c>
      <c r="F23" s="24"/>
      <c r="G23" s="2" t="s">
        <v>60</v>
      </c>
      <c r="I23" s="25"/>
      <c r="J23" s="2" t="s">
        <v>9</v>
      </c>
    </row>
    <row r="26" customFormat="false" ht="17.35" hidden="false" customHeight="false" outlineLevel="0" collapsed="false">
      <c r="A26" s="1" t="s">
        <v>20</v>
      </c>
    </row>
    <row r="27" customFormat="false" ht="15" hidden="false" customHeight="false" outlineLevel="0" collapsed="false">
      <c r="A27" s="22" t="s">
        <v>61</v>
      </c>
    </row>
    <row r="48" customFormat="false" ht="12" hidden="false" customHeight="true" outlineLevel="0" collapsed="false">
      <c r="B48" s="23"/>
      <c r="D48" s="2" t="s">
        <v>62</v>
      </c>
      <c r="F48" s="24"/>
      <c r="G48" s="2" t="s">
        <v>63</v>
      </c>
      <c r="I48" s="25"/>
      <c r="J48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2026-08-09T14:39:58Z</dcterms:created>
  <dc:creator>openpyxl</dc:creator>
  <dc:description/>
  <dc:language>en-US</dc:language>
  <cp:lastModifiedBy/>
  <dcterms:modified xsi:type="dcterms:W3CDTF">2026-08-09T14:40:00Z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