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R1_Oil" sheetId="3" state="visible" r:id="rId5"/>
    <sheet name="Bands" sheetId="4" state="visible" r:id="rId6"/>
    <sheet name="R2_BoJ" sheetId="5" state="visible" r:id="rId7"/>
    <sheet name="R3_China" sheetId="6" state="visible" r:id="rId8"/>
    <sheet name="Scenario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<sst xmlns="http://schemas.openxmlformats.org/spreadsheetml/2006/main" count="325" uniqueCount="283">
  <si>
    <t xml:space="preserve">H2 2026 Asian Cross-Asset — Risks Slide Data Pack</t>
  </si>
  <si>
    <t xml:space="preserve">Built 10-Aug-2026. Every series below feeds a chart on tabs R1_Oil / R2_BoJ / R3_China.</t>
  </si>
  <si>
    <t xml:space="preserve">HOW TO USE THIS FILE</t>
  </si>
  <si>
    <t xml:space="preserve">BLUE text</t>
  </si>
  <si>
    <t xml:space="preserve">A hardcoded number. Sourced in the note column beside it.</t>
  </si>
  <si>
    <t xml:space="preserve">YELLOW fill</t>
  </si>
  <si>
    <t xml:space="preserve">You must replace this. It is a placeholder or a terminal pull.</t>
  </si>
  <si>
    <t xml:space="preserve">BLACK text</t>
  </si>
  <si>
    <t xml:space="preserve">A formula. Do not overwrite — it will recalculate off your paste.</t>
  </si>
  <si>
    <t xml:space="preserve">GREEN text</t>
  </si>
  <si>
    <t xml:space="preserve">A link to another tab in this workbook.</t>
  </si>
  <si>
    <t xml:space="preserve">Grey italic</t>
  </si>
  <si>
    <t xml:space="preserve">Source note or instruction.</t>
  </si>
  <si>
    <t xml:space="preserve">WORKFLOW</t>
  </si>
  <si>
    <t xml:space="preserve">1. Pull each series in the table below into a two-column block (date, value).</t>
  </si>
  <si>
    <t xml:space="preserve">2. Paste into the yellow PASTE range on the matching tab. Keep the date column sorted ascending.</t>
  </si>
  <si>
    <t xml:space="preserve">3. Formulas and charts update automatically. Do not insert rows inside a paste range — overwrite instead.</t>
  </si>
  <si>
    <t xml:space="preserve">4. Check the Scenarios tab: it drives the three-scenario P&amp;L strip at the bottom of the risks slide.</t>
  </si>
  <si>
    <t xml:space="preserve">DATA SOURCES</t>
  </si>
  <si>
    <t xml:space="preserve">Series</t>
  </si>
  <si>
    <t xml:space="preserve">Source</t>
  </si>
  <si>
    <t xml:space="preserve">Ticker / path</t>
  </si>
  <si>
    <t xml:space="preserve">Cost</t>
  </si>
  <si>
    <t xml:space="preserve">Notes</t>
  </si>
  <si>
    <t xml:space="preserve">Brent spot, daily</t>
  </si>
  <si>
    <t xml:space="preserve">EIA (free) or Bloomberg</t>
  </si>
  <si>
    <t xml:space="preserve">EIA series RBRTE / CO1 Comdty</t>
  </si>
  <si>
    <t xml:space="preserve">Free</t>
  </si>
  <si>
    <t xml:space="preserve">EIA 'Europe Brent Spot Price FOB' downloads as CSV, full history to 1987.</t>
  </si>
  <si>
    <t xml:space="preserve">Hormuz transit calls, daily</t>
  </si>
  <si>
    <t xml:space="preserve">IMF PortWatch</t>
  </si>
  <si>
    <t xml:space="preserve">portwatch.imf.org chokepoint dashboard</t>
  </si>
  <si>
    <t xml:space="preserve">THE key free series for Risk 1. Daily transit calls + 7d MA, downloadable. Pre-crisis baseline ~73/day.</t>
  </si>
  <si>
    <t xml:space="preserve">Hormuz transits, weekly detail</t>
  </si>
  <si>
    <t xml:space="preserve">Lloyd's List Intelligence</t>
  </si>
  <si>
    <t xml:space="preserve">Strait of Hormuz Brief (weekly)</t>
  </si>
  <si>
    <t xml:space="preserve">Paid</t>
  </si>
  <si>
    <t xml:space="preserve">Splits Iranian-linked vs non-Iranian traffic. Use only if you already have the subscription.</t>
  </si>
  <si>
    <t xml:space="preserve">USD/JPY, daily</t>
  </si>
  <si>
    <t xml:space="preserve">FRED (free) or Bloomberg</t>
  </si>
  <si>
    <t xml:space="preserve">FRED DEXJPUS / USDJPY Curncy</t>
  </si>
  <si>
    <t xml:space="preserve">FRED is daily NY close, no intraday. Fine for a monthly-frequency chart.</t>
  </si>
  <si>
    <t xml:space="preserve">MoF intervention amounts</t>
  </si>
  <si>
    <t xml:space="preserve">Japan Ministry of Finance</t>
  </si>
  <si>
    <t xml:space="preserve">mof.go.jp FX intervention data</t>
  </si>
  <si>
    <t xml:space="preserve">Monthly disclosure, published end-month. Confirms the intervention date markers.</t>
  </si>
  <si>
    <t xml:space="preserve">JGB par yields by tenor</t>
  </si>
  <si>
    <t xml:space="preserve">Japan MoF</t>
  </si>
  <si>
    <t xml:space="preserve">mof.go.jp historical interest rates</t>
  </si>
  <si>
    <t xml:space="preserve">You already use this on slide 8 — same source, daily, all tenors, back to 1974.</t>
  </si>
  <si>
    <t xml:space="preserve">Japan CPI core-core</t>
  </si>
  <si>
    <t xml:space="preserve">Statistics Bureau / e-Stat</t>
  </si>
  <si>
    <t xml:space="preserve">CPI ex fresh food &amp; energy, nat'l</t>
  </si>
  <si>
    <t xml:space="preserve">National release ~19th of following month. Tokyo release ~end of prior month as the leading read.</t>
  </si>
  <si>
    <t xml:space="preserve">BoJ policy rate &amp; forecasts</t>
  </si>
  <si>
    <t xml:space="preserve">Bank of Japan</t>
  </si>
  <si>
    <t xml:space="preserve">Outlook Report (Jan/Apr/Jul/Oct)</t>
  </si>
  <si>
    <t xml:space="preserve">The July-26 Outlook Report has the FY26 core-core forecast you use as a trigger.</t>
  </si>
  <si>
    <t xml:space="preserve">MSCI China price &amp; fwd EPS</t>
  </si>
  <si>
    <t xml:space="preserve">Bloomberg / FactSet / IBES</t>
  </si>
  <si>
    <t xml:space="preserve">MXCN Index BEST_EPS</t>
  </si>
  <si>
    <t xml:space="preserve">No free substitute at index level. Nearest free proxy: MCHI ETF price + holdings-weighted EPS.</t>
  </si>
  <si>
    <t xml:space="preserve">Earnings revision breadth</t>
  </si>
  <si>
    <t xml:space="preserve">Bloomberg / IBES</t>
  </si>
  <si>
    <t xml:space="preserve">MXCN, 3m up vs down revisions</t>
  </si>
  <si>
    <t xml:space="preserve">If unavailable, substitute net FY2 EPS estimate change over 3m — same story, easier pull.</t>
  </si>
  <si>
    <t xml:space="preserve">China policy calendar</t>
  </si>
  <si>
    <t xml:space="preserve">Xinhua / State Council</t>
  </si>
  <si>
    <t xml:space="preserve">Politburo + CEWC announcements</t>
  </si>
  <si>
    <t xml:space="preserve">Hardcoded on R3_China. Verify dates before printing — they are announced with little notice.</t>
  </si>
  <si>
    <t xml:space="preserve">Anything marked Paid: pull it on the desk. Nothing in this pack requires paid data to produce a presentable chart — the free substitutes are named above.</t>
  </si>
  <si>
    <t xml:space="preserve">Verified anchors and trigger levels</t>
  </si>
  <si>
    <t xml:space="preserve">Blue = verified as of 10-Aug-2026, source in column D. Yellow = your number, fill it in.</t>
  </si>
  <si>
    <t xml:space="preserve">Item</t>
  </si>
  <si>
    <t xml:space="preserve">Value</t>
  </si>
  <si>
    <t xml:space="preserve">Unit</t>
  </si>
  <si>
    <t xml:space="preserve">Source / note</t>
  </si>
  <si>
    <t xml:space="preserve">MARKET LEVELS</t>
  </si>
  <si>
    <t xml:space="preserve">Brent spot</t>
  </si>
  <si>
    <t xml:space="preserve">USD/bbl</t>
  </si>
  <si>
    <t xml:space="preserve">7-Aug-2026 settle. Trading Economics / Oilprice.</t>
  </si>
  <si>
    <t xml:space="preserve">Brent 52-week high</t>
  </si>
  <si>
    <t xml:space="preserve">Intraday 30-Apr-2026. Forbes Advisor commodity page.</t>
  </si>
  <si>
    <t xml:space="preserve">Brent 52-week low</t>
  </si>
  <si>
    <t xml:space="preserve">Intraday 16-Dec-2025. Forbes Advisor commodity page.</t>
  </si>
  <si>
    <t xml:space="preserve">Brent, 12m change</t>
  </si>
  <si>
    <t xml:space="preserve">%</t>
  </si>
  <si>
    <t xml:space="preserve">+25.5% y/y as of 7-Aug-2026.</t>
  </si>
  <si>
    <t xml:space="preserve">USD/JPY spot</t>
  </si>
  <si>
    <t xml:space="preserve">JPY</t>
  </si>
  <si>
    <t xml:space="preserve">7-Aug-2026. Trading Economics.</t>
  </si>
  <si>
    <t xml:space="preserve">USD/JPY, 1m change (yen stronger)</t>
  </si>
  <si>
    <t xml:space="preserve">Yen +3.0% over the month to 7-Aug-2026, post-intervention.</t>
  </si>
  <si>
    <t xml:space="preserve">HORMUZ</t>
  </si>
  <si>
    <t xml:space="preserve">Transit calls, latest daily</t>
  </si>
  <si>
    <t xml:space="preserve">vessels/day</t>
  </si>
  <si>
    <t xml:space="preserve">2-Aug-2026, IMF PortWatch.</t>
  </si>
  <si>
    <t xml:space="preserve">Transit calls, pre-crisis baseline</t>
  </si>
  <si>
    <t xml:space="preserve">IMF PortWatch baseline. Other sources cite 88-130/day.</t>
  </si>
  <si>
    <t xml:space="preserve">Days closed as at 10-Aug-2026</t>
  </si>
  <si>
    <t xml:space="preserve">days</t>
  </si>
  <si>
    <t xml:space="preserve">Closed since 28-Feb-2026. Formula below cross-checks.</t>
  </si>
  <si>
    <t xml:space="preserve">JAPAN POLICY</t>
  </si>
  <si>
    <t xml:space="preserve">BoJ policy rate</t>
  </si>
  <si>
    <t xml:space="preserve">Hiked 25bp June-2026, held 31-Jul 8-1 (Takata dissent for 1.25%).</t>
  </si>
  <si>
    <t xml:space="preserve">BoJ FY2026 core-core forecast</t>
  </si>
  <si>
    <t xml:space="preserve">July-2026 Outlook Report. THIS IS YOUR STOP TRIGGER.</t>
  </si>
  <si>
    <t xml:space="preserve">BoJ FY2026 headline forecast</t>
  </si>
  <si>
    <t xml:space="preserve">Cut from 2.8% in the July-2026 Outlook Report.</t>
  </si>
  <si>
    <t xml:space="preserve">National core-core, latest</t>
  </si>
  <si>
    <t xml:space="preserve">May-2026. Statistics Bureau.</t>
  </si>
  <si>
    <t xml:space="preserve">Tokyo core-core, latest</t>
  </si>
  <si>
    <t xml:space="preserve">July-2026, up from 1.9% June. Leading indicator for national.</t>
  </si>
  <si>
    <t xml:space="preserve">JGB 2y yield</t>
  </si>
  <si>
    <t xml:space="preserve">Late-Jul-2026, ING. Only 50bp over policy rate.</t>
  </si>
  <si>
    <t xml:space="preserve">JGB 10y yield</t>
  </si>
  <si>
    <t xml:space="preserve">Late-Jul-2026, ING.</t>
  </si>
  <si>
    <t xml:space="preserve">Policy rate priced 2y forward</t>
  </si>
  <si>
    <t xml:space="preserve">OIS forwards, late-Jul-2026, ING.</t>
  </si>
  <si>
    <t xml:space="preserve">YOUR TRADE PARAMETERS — FILL IN</t>
  </si>
  <si>
    <t xml:space="preserve">2s10s blended entry level</t>
  </si>
  <si>
    <t xml:space="preserve">bp</t>
  </si>
  <si>
    <t xml:space="preserve">Blend of half at ~129bp post-BoJ and half at 112bp limit. Your slide 8.</t>
  </si>
  <si>
    <t xml:space="preserve">2s10s target</t>
  </si>
  <si>
    <t xml:space="preserve">Your slide 8.</t>
  </si>
  <si>
    <t xml:space="preserve">2s10s stop</t>
  </si>
  <si>
    <t xml:space="preserve">Your slide 8, hard stop.</t>
  </si>
  <si>
    <t xml:space="preserve">USD/JPY stop trigger</t>
  </si>
  <si>
    <t xml:space="preserve">Your slide 8. Note MoF already intervened jointly with the US in late July.</t>
  </si>
  <si>
    <t xml:space="preserve">Core-core stop trigger</t>
  </si>
  <si>
    <t xml:space="preserve">Your slide 8. Equals the BoJ's own FY26 forecast — say that.</t>
  </si>
  <si>
    <t xml:space="preserve">Risk budget, rates leg</t>
  </si>
  <si>
    <t xml:space="preserve">% of book</t>
  </si>
  <si>
    <t xml:space="preserve">Risk budget, China equity leg</t>
  </si>
  <si>
    <t xml:space="preserve">NOT STATED on your deck — decide this before you present.</t>
  </si>
  <si>
    <t xml:space="preserve">Cross-check: days since Hormuz closed</t>
  </si>
  <si>
    <t xml:space="preserve">If this does not equal the hardcoded 163 above, one of them is stale.</t>
  </si>
  <si>
    <t xml:space="preserve">RISK 1 — Hormuz: the risk is two-sided, not one-sided</t>
  </si>
  <si>
    <t xml:space="preserve">The strait has been effectively closed since 28-Feb-2026 (2 transits/day vs a 73/day baseline). Brent has already round-tripped $58 - $121 - $84. Reopening is as big a shock as escalation.</t>
  </si>
  <si>
    <t xml:space="preserve">Block A — Brent monthly close, with scenario bands</t>
  </si>
  <si>
    <t xml:space="preserve">Block B — Oil beta of each book leg</t>
  </si>
  <si>
    <t xml:space="preserve">PASTE month-end Brent into columns A:B. Columns C:E are formulas that draw the scenario bands — leave them alone.</t>
  </si>
  <si>
    <t xml:space="preserve">PASTE weekly % changes. The betas below are what let you say 'the legs partially offset' with a number instead of a hand-wave.</t>
  </si>
  <si>
    <t xml:space="preserve">Date</t>
  </si>
  <si>
    <t xml:space="preserve">Brent</t>
  </si>
  <si>
    <t xml:space="preserve">Reopen case</t>
  </si>
  <si>
    <t xml:space="preserve">Base case</t>
  </si>
  <si>
    <t xml:space="preserve">Escalation case</t>
  </si>
  <si>
    <t xml:space="preserve">Flag</t>
  </si>
  <si>
    <t xml:space="preserve">Week ending</t>
  </si>
  <si>
    <t xml:space="preserve">Brent %</t>
  </si>
  <si>
    <t xml:space="preserve">China eq %</t>
  </si>
  <si>
    <t xml:space="preserve">2s10s chg bp</t>
  </si>
  <si>
    <t xml:space="preserve">ESTIMATE - REPLACE</t>
  </si>
  <si>
    <t xml:space="preserve">EXAMPLE ROW - overwrite</t>
  </si>
  <si>
    <t xml:space="preserve">Low of 58.66 on 16-Dec VERIFIED</t>
  </si>
  <si>
    <t xml:space="preserve">VERIFIED</t>
  </si>
  <si>
    <t xml:space="preserve">VERIFIED (week-end 20-Feb)</t>
  </si>
  <si>
    <t xml:space="preserve">VERIFIED (3-Mar close)</t>
  </si>
  <si>
    <t xml:space="preserve">VERIFIED intraday high</t>
  </si>
  <si>
    <t xml:space="preserve">ESTIMATE - REPLACE (MoU reopening ~17-Jun)</t>
  </si>
  <si>
    <t xml:space="preserve">Block C — Hormuz transit calls (IMF PortWatch, free)</t>
  </si>
  <si>
    <t xml:space="preserve">PASTE daily transit calls. This is the single best free series in the whole pack.</t>
  </si>
  <si>
    <t xml:space="preserve">Transits</t>
  </si>
  <si>
    <t xml:space="preserve">7d MA</t>
  </si>
  <si>
    <t xml:space="preserve">Baseline</t>
  </si>
  <si>
    <t xml:space="preserve">Anchor points only — 23-Jul and 2-Aug are verified PortWatch prints, the rest are illustrative. Replace with the full daily download.</t>
  </si>
  <si>
    <t xml:space="preserve">Computed betas</t>
  </si>
  <si>
    <t xml:space="preserve">Beta: China equity leg to Brent</t>
  </si>
  <si>
    <t xml:space="preserve">Expect negative. This is your oil-shock loss on the equity leg.</t>
  </si>
  <si>
    <t xml:space="preserve">R-sq: China equity vs Brent</t>
  </si>
  <si>
    <t xml:space="preserve">Below ~0.15 and the relationship is too weak to claim a hedge. Say so if it is.</t>
  </si>
  <si>
    <t xml:space="preserve">Beta: 2s10s (bp) to 1% Brent move</t>
  </si>
  <si>
    <t xml:space="preserve">Expect positive. This is the offset.</t>
  </si>
  <si>
    <t xml:space="preserve">R-sq: 2s10s vs Brent</t>
  </si>
  <si>
    <t xml:space="preserve">Same test.</t>
  </si>
  <si>
    <t xml:space="preserve">Net book P&amp;L on a +20% Brent shock</t>
  </si>
  <si>
    <t xml:space="preserve">Rough, equity-leg only, in % terms. Refine with your own position sizes.</t>
  </si>
  <si>
    <t xml:space="preserve">Scenario band levels — edit these, the charts follow</t>
  </si>
  <si>
    <t xml:space="preserve">Reopening case Brent</t>
  </si>
  <si>
    <t xml:space="preserve">Deal struck, transits normalise. Roughly the Dec-25 pre-war level.</t>
  </si>
  <si>
    <t xml:space="preserve">Base case Brent</t>
  </si>
  <si>
    <t xml:space="preserve">Status quo: closed but contained, shuttling continues. Spot as of 7-Aug.</t>
  </si>
  <si>
    <t xml:space="preserve">Escalation case Brent</t>
  </si>
  <si>
    <t xml:space="preserve">Re-run of the Apr-26 spike. Your Risk 1 trigger.</t>
  </si>
  <si>
    <t xml:space="preserve">Escalation trigger for the slide</t>
  </si>
  <si>
    <t xml:space="preserve">The level at which you act, not the level you forecast.</t>
  </si>
  <si>
    <t xml:space="preserve">RISK 2 — BoJ defends the yen and the curve bear-flattens</t>
  </si>
  <si>
    <t xml:space="preserve">Policy rate 1.00%, held 8-1 on 31-Jul with a September hike signalled. The 2y at ~1.50% prices only 50bp over policy while forwards put the rate at 2% in two years. That gap is where the received leg loses.</t>
  </si>
  <si>
    <t xml:space="preserve">Block A — USD/JPY with the intervention zone</t>
  </si>
  <si>
    <t xml:space="preserve">Block B — Event study: what hawkish surprises do to 2s10s</t>
  </si>
  <si>
    <t xml:space="preserve">PASTE month-end USD/JPY into A:B. C:D draw the MoF action zone.</t>
  </si>
  <si>
    <t xml:space="preserve">THE most important table in this pack. Pull 1-day changes around each event from MoF JGB yields. Negative 2s10s = you lose.</t>
  </si>
  <si>
    <t xml:space="preserve">USD/JPY</t>
  </si>
  <si>
    <t xml:space="preserve">Watch 160</t>
  </si>
  <si>
    <t xml:space="preserve">Stop 165</t>
  </si>
  <si>
    <t xml:space="preserve">Event</t>
  </si>
  <si>
    <t xml:space="preserve">d2y bp</t>
  </si>
  <si>
    <t xml:space="preserve">d10y bp</t>
  </si>
  <si>
    <t xml:space="preserve">d2s10s bp</t>
  </si>
  <si>
    <t xml:space="preserve">BoJ hike to 0.75%</t>
  </si>
  <si>
    <t xml:space="preserve">BoJ hold, hawkish tone</t>
  </si>
  <si>
    <t xml:space="preserve">BoJ hike to 1.00%</t>
  </si>
  <si>
    <t xml:space="preserve">BoJ hold 8-1, Takata dissent</t>
  </si>
  <si>
    <t xml:space="preserve">Tamura 'hike every few months'</t>
  </si>
  <si>
    <t xml:space="preserve">Joint JP-US FX intervention</t>
  </si>
  <si>
    <t xml:space="preserve">NEXT: BoJ meeting</t>
  </si>
  <si>
    <t xml:space="preserve">Average 2s10s move on a hawkish event</t>
  </si>
  <si>
    <t xml:space="preserve">Excludes the two future meetings. If this average is materially negative, your entry rule of 'half after a BoJ hike' is buying into a flattening — say why that is the right side of it.</t>
  </si>
  <si>
    <t xml:space="preserve">Headroom to stop</t>
  </si>
  <si>
    <t xml:space="preserve">Entry minus stop, in bp. Compare with the average event move above: how many hawkish surprises can you absorb?</t>
  </si>
  <si>
    <t xml:space="preserve">Hawkish events to stop-out</t>
  </si>
  <si>
    <t xml:space="preserve">If this is under ~3, the stop is too tight for the entry. A PM will do this division in their head — do it for them.</t>
  </si>
  <si>
    <t xml:space="preserve">Block C — Core-core inflation vs your stop trigger</t>
  </si>
  <si>
    <t xml:space="preserve">Your 2.2% trigger is exactly the BoJ's own FY2026 core-core forecast. Say that out loud.</t>
  </si>
  <si>
    <t xml:space="preserve">Nat'l core-core</t>
  </si>
  <si>
    <t xml:space="preserve">Tokyo core-core</t>
  </si>
  <si>
    <t xml:space="preserve">Trigger 2.2%</t>
  </si>
  <si>
    <t xml:space="preserve">National core-core prints ~19th of the following month. Tokyo leads it by about three weeks — that is your early warning.</t>
  </si>
  <si>
    <t xml:space="preserve">RISK 3 — China policy disappointment: cheap stays cheap</t>
  </si>
  <si>
    <t xml:space="preserve">At 14x you are underwriting an earnings recovery. If forward EPS keeps falling, the multiple is not support — it is the symptom.</t>
  </si>
  <si>
    <t xml:space="preserve">Block A — Price vs forward EPS, both rebased to 100</t>
  </si>
  <si>
    <t xml:space="preserve">Block B — Diagnostic</t>
  </si>
  <si>
    <t xml:space="preserve">PASTE MSCI China price and 12m forward EPS into B:C. D:E rebase automatically. If the EPS line falls while price rises, the whole move is re-rating — that is fragile.</t>
  </si>
  <si>
    <t xml:space="preserve">Price change over window</t>
  </si>
  <si>
    <t xml:space="preserve">MXCN price</t>
  </si>
  <si>
    <t xml:space="preserve">12m fwd EPS</t>
  </si>
  <si>
    <t xml:space="preserve">Price rebased</t>
  </si>
  <si>
    <t xml:space="preserve">EPS rebased</t>
  </si>
  <si>
    <t xml:space="preserve">Fwd EPS change over window</t>
  </si>
  <si>
    <t xml:space="preserve">Of which: re-rating</t>
  </si>
  <si>
    <t xml:space="preserve">Verdict</t>
  </si>
  <si>
    <t xml:space="preserve">Block C — China policy calendar (your trigger dates)</t>
  </si>
  <si>
    <t xml:space="preserve">What would confirm the risk</t>
  </si>
  <si>
    <t xml:space="preserve">Q3 GDP</t>
  </si>
  <si>
    <t xml:space="preserve">Nominal growth still below real — deflation unbroken</t>
  </si>
  <si>
    <t xml:space="preserve">October Politburo</t>
  </si>
  <si>
    <t xml:space="preserve">No new demand-side measure, only supply-side 'anti-involution'</t>
  </si>
  <si>
    <t xml:space="preserve">Central Economic Work Conference</t>
  </si>
  <si>
    <t xml:space="preserve">Deficit target unchanged, no consumption transfer</t>
  </si>
  <si>
    <t xml:space="preserve">NPC / Two Sessions</t>
  </si>
  <si>
    <t xml:space="preserve">Growth target cut without offsetting stimulus</t>
  </si>
  <si>
    <t xml:space="preserve">Dates are indicative — Politburo and CEWC are announced at short notice. VERIFY before printing.</t>
  </si>
  <si>
    <t xml:space="preserve">EXAMPLE values in the first row only — overwrite the whole block.</t>
  </si>
  <si>
    <t xml:space="preserve">Three-scenario book P&amp;L</t>
  </si>
  <si>
    <t xml:space="preserve">Fill the yellow cells with your own position sizes and expected moves. The point is not precision — it is that you have done it.</t>
  </si>
  <si>
    <t xml:space="preserve">Bear</t>
  </si>
  <si>
    <t xml:space="preserve">Base</t>
  </si>
  <si>
    <t xml:space="preserve">Bull</t>
  </si>
  <si>
    <t xml:space="preserve">Note</t>
  </si>
  <si>
    <t xml:space="preserve">SCENARIO DEFINITION</t>
  </si>
  <si>
    <t xml:space="preserve">Hormuz</t>
  </si>
  <si>
    <t xml:space="preserve">Escalation</t>
  </si>
  <si>
    <t xml:space="preserve">Closed, contained</t>
  </si>
  <si>
    <t xml:space="preserve">Reopening deal</t>
  </si>
  <si>
    <t xml:space="preserve">Your Risk 1, both tails.</t>
  </si>
  <si>
    <t xml:space="preserve">Links to the Bands tab.</t>
  </si>
  <si>
    <t xml:space="preserve">BoJ</t>
  </si>
  <si>
    <t xml:space="preserve">Hikes to defend JPY</t>
  </si>
  <si>
    <t xml:space="preserve">Sep hike, gradual</t>
  </si>
  <si>
    <t xml:space="preserve">On hold</t>
  </si>
  <si>
    <t xml:space="preserve">Your Risk 2.</t>
  </si>
  <si>
    <t xml:space="preserve">China policy</t>
  </si>
  <si>
    <t xml:space="preserve">CEWC disappoints</t>
  </si>
  <si>
    <t xml:space="preserve">Incremental easing</t>
  </si>
  <si>
    <t xml:space="preserve">Consumption package</t>
  </si>
  <si>
    <t xml:space="preserve">Your Risk 3.</t>
  </si>
  <si>
    <t xml:space="preserve">POSITION SIZES — FILL IN</t>
  </si>
  <si>
    <t xml:space="preserve">China equity leg, % of book</t>
  </si>
  <si>
    <t xml:space="preserve">Same number across all three columns.</t>
  </si>
  <si>
    <t xml:space="preserve">Rates leg, % of risk budget</t>
  </si>
  <si>
    <t xml:space="preserve">Slide 8 says 30%.</t>
  </si>
  <si>
    <t xml:space="preserve">EXPECTED MOVES — FILL IN</t>
  </si>
  <si>
    <t xml:space="preserve">China equity return, %</t>
  </si>
  <si>
    <t xml:space="preserve">Your estimate per scenario.</t>
  </si>
  <si>
    <t xml:space="preserve">2s10s move, bp</t>
  </si>
  <si>
    <t xml:space="preserve">Bear should be at or through your 98bp stop.</t>
  </si>
  <si>
    <t xml:space="preserve">P&amp;L</t>
  </si>
  <si>
    <t xml:space="preserve">Equity leg P&amp;L, % of book</t>
  </si>
  <si>
    <t xml:space="preserve">Rates leg P&amp;L, % of book</t>
  </si>
  <si>
    <t xml:space="preserve">TOTAL, % of book</t>
  </si>
  <si>
    <t xml:space="preserve">Falsifiability statement for the slide:</t>
  </si>
  <si>
    <t xml:space="preserve">The base case is Fed on hold, Hormuz closed but contained, and a gradual BoJ. The book loses on both legs simultaneously only if oil spikes AND the BoJ responds to imported inflation with a defensive hike. That is the one correlated tail.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</si>
</sst>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"/>
    <numFmt numFmtId="166" formatCode="0.00%"/>
    <numFmt numFmtId="167" formatCode="#,##0"/>
    <numFmt numFmtId="168" formatCode="mmm\-yy"/>
    <numFmt numFmtId="169" formatCode="0.0"/>
    <numFmt numFmtId="170" formatCode="dd\-mmm\-yy"/>
    <numFmt numFmtId="171" formatCode="0"/>
    <numFmt numFmtId="172" formatCode="0.0;[RED]\(0.0\)"/>
    <numFmt numFmtId="173" formatCode="0.0%"/>
    <numFmt numFmtId="174" formatCode="@"/>
    <numFmt numFmtId="175" formatCode="0.00%;[RED]\(0.00%\)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1F1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1"/>
      <color rgb="FFA6192E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192E"/>
        <bgColor rgb="FF993366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969696"/>
      <rgbColor rgb="FF003366"/>
      <rgbColor rgb="FF4F81BD"/>
      <rgbColor rgb="FF003300"/>
      <rgbColor rgb="FF333300"/>
      <rgbColor rgb="FFA6192E"/>
      <rgbColor rgb="FF993366"/>
      <rgbColor rgb="FF59595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Brent has already round-tripped. Both directions are live.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R1_Oil!B6</c:f>
              <c:strCache>
                <c:ptCount val="1"/>
                <c:pt idx="0">
                  <c:v>Brent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R1_Oil!$A$7:$A$19</c:f>
              <c:strCache>
                <c:ptCount val="13"/>
                <c:pt idx="0">
                  <c:v>Aug-25</c:v>
                </c:pt>
                <c:pt idx="1">
                  <c:v>Sep-25</c:v>
                </c:pt>
                <c:pt idx="2">
                  <c:v>Oct-25</c:v>
                </c:pt>
                <c:pt idx="3">
                  <c:v>Nov-25</c:v>
                </c:pt>
                <c:pt idx="4">
                  <c:v>Dec-25</c:v>
                </c:pt>
                <c:pt idx="5">
                  <c:v>Jan-26</c:v>
                </c:pt>
                <c:pt idx="6">
                  <c:v>Feb-26</c:v>
                </c:pt>
                <c:pt idx="7">
                  <c:v>Mar-26</c:v>
                </c:pt>
                <c:pt idx="8">
                  <c:v>Apr-26</c:v>
                </c:pt>
                <c:pt idx="9">
                  <c:v>May-26</c:v>
                </c:pt>
                <c:pt idx="10">
                  <c:v>Jun-26</c:v>
                </c:pt>
                <c:pt idx="11">
                  <c:v>Jul-26</c:v>
                </c:pt>
                <c:pt idx="12">
                  <c:v>Aug-26</c:v>
                </c:pt>
              </c:strCache>
            </c:strRef>
          </c:cat>
          <c:val>
            <c:numRef>
              <c:f>R1_Oil!$B$7:$B$19</c:f>
              <c:numCache>
                <c:formatCode>0.0</c:formatCode>
                <c:ptCount val="13"/>
                <c:pt idx="0">
                  <c:v>66.5</c:v>
                </c:pt>
                <c:pt idx="1">
                  <c:v>67</c:v>
                </c:pt>
                <c:pt idx="2">
                  <c:v>64.5</c:v>
                </c:pt>
                <c:pt idx="3">
                  <c:v>62</c:v>
                </c:pt>
                <c:pt idx="4">
                  <c:v>60</c:v>
                </c:pt>
                <c:pt idx="5">
                  <c:v>70.69</c:v>
                </c:pt>
                <c:pt idx="6">
                  <c:v>72.48</c:v>
                </c:pt>
                <c:pt idx="7">
                  <c:v>81.49</c:v>
                </c:pt>
                <c:pt idx="8">
                  <c:v>120.88</c:v>
                </c:pt>
                <c:pt idx="9">
                  <c:v>102</c:v>
                </c:pt>
                <c:pt idx="10">
                  <c:v>88</c:v>
                </c:pt>
                <c:pt idx="11">
                  <c:v>78</c:v>
                </c:pt>
                <c:pt idx="12">
                  <c:v>83.55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R1_Oil!C6</c:f>
              <c:strCache>
                <c:ptCount val="1"/>
                <c:pt idx="0">
                  <c:v>Reopen case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R1_Oil!$A$7:$A$19</c:f>
              <c:strCache>
                <c:ptCount val="13"/>
                <c:pt idx="0">
                  <c:v>Aug-25</c:v>
                </c:pt>
                <c:pt idx="1">
                  <c:v>Sep-25</c:v>
                </c:pt>
                <c:pt idx="2">
                  <c:v>Oct-25</c:v>
                </c:pt>
                <c:pt idx="3">
                  <c:v>Nov-25</c:v>
                </c:pt>
                <c:pt idx="4">
                  <c:v>Dec-25</c:v>
                </c:pt>
                <c:pt idx="5">
                  <c:v>Jan-26</c:v>
                </c:pt>
                <c:pt idx="6">
                  <c:v>Feb-26</c:v>
                </c:pt>
                <c:pt idx="7">
                  <c:v>Mar-26</c:v>
                </c:pt>
                <c:pt idx="8">
                  <c:v>Apr-26</c:v>
                </c:pt>
                <c:pt idx="9">
                  <c:v>May-26</c:v>
                </c:pt>
                <c:pt idx="10">
                  <c:v>Jun-26</c:v>
                </c:pt>
                <c:pt idx="11">
                  <c:v>Jul-26</c:v>
                </c:pt>
                <c:pt idx="12">
                  <c:v>Aug-26</c:v>
                </c:pt>
              </c:strCache>
            </c:strRef>
          </c:cat>
          <c:val>
            <c:numRef>
              <c:f>R1_Oil!$C$7:$C$19</c:f>
              <c:numCache>
                <c:formatCode>0.0</c:formatCode>
                <c:ptCount val="13"/>
                <c:pt idx="0">
                  <c:v>62</c:v>
                </c:pt>
                <c:pt idx="1">
                  <c:v>62</c:v>
                </c:pt>
                <c:pt idx="2">
                  <c:v>62</c:v>
                </c:pt>
                <c:pt idx="3">
                  <c:v>62</c:v>
                </c:pt>
                <c:pt idx="4">
                  <c:v>62</c:v>
                </c:pt>
                <c:pt idx="5">
                  <c:v>62</c:v>
                </c:pt>
                <c:pt idx="6">
                  <c:v>62</c:v>
                </c:pt>
                <c:pt idx="7">
                  <c:v>62</c:v>
                </c:pt>
                <c:pt idx="8">
                  <c:v>62</c:v>
                </c:pt>
                <c:pt idx="9">
                  <c:v>62</c:v>
                </c:pt>
                <c:pt idx="10">
                  <c:v>62</c:v>
                </c:pt>
                <c:pt idx="11">
                  <c:v>62</c:v>
                </c:pt>
                <c:pt idx="12">
                  <c:v>62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R1_Oil!D6</c:f>
              <c:strCache>
                <c:ptCount val="1"/>
                <c:pt idx="0">
                  <c:v>Base case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R1_Oil!$A$7:$A$19</c:f>
              <c:strCache>
                <c:ptCount val="13"/>
                <c:pt idx="0">
                  <c:v>Aug-25</c:v>
                </c:pt>
                <c:pt idx="1">
                  <c:v>Sep-25</c:v>
                </c:pt>
                <c:pt idx="2">
                  <c:v>Oct-25</c:v>
                </c:pt>
                <c:pt idx="3">
                  <c:v>Nov-25</c:v>
                </c:pt>
                <c:pt idx="4">
                  <c:v>Dec-25</c:v>
                </c:pt>
                <c:pt idx="5">
                  <c:v>Jan-26</c:v>
                </c:pt>
                <c:pt idx="6">
                  <c:v>Feb-26</c:v>
                </c:pt>
                <c:pt idx="7">
                  <c:v>Mar-26</c:v>
                </c:pt>
                <c:pt idx="8">
                  <c:v>Apr-26</c:v>
                </c:pt>
                <c:pt idx="9">
                  <c:v>May-26</c:v>
                </c:pt>
                <c:pt idx="10">
                  <c:v>Jun-26</c:v>
                </c:pt>
                <c:pt idx="11">
                  <c:v>Jul-26</c:v>
                </c:pt>
                <c:pt idx="12">
                  <c:v>Aug-26</c:v>
                </c:pt>
              </c:strCache>
            </c:strRef>
          </c:cat>
          <c:val>
            <c:numRef>
              <c:f>R1_Oil!$D$7:$D$19</c:f>
              <c:numCache>
                <c:formatCode>0.0</c:formatCode>
                <c:ptCount val="13"/>
                <c:pt idx="0">
                  <c:v>84</c:v>
                </c:pt>
                <c:pt idx="1">
                  <c:v>84</c:v>
                </c:pt>
                <c:pt idx="2">
                  <c:v>84</c:v>
                </c:pt>
                <c:pt idx="3">
                  <c:v>84</c:v>
                </c:pt>
                <c:pt idx="4">
                  <c:v>84</c:v>
                </c:pt>
                <c:pt idx="5">
                  <c:v>84</c:v>
                </c:pt>
                <c:pt idx="6">
                  <c:v>84</c:v>
                </c:pt>
                <c:pt idx="7">
                  <c:v>84</c:v>
                </c:pt>
                <c:pt idx="8">
                  <c:v>84</c:v>
                </c:pt>
                <c:pt idx="9">
                  <c:v>84</c:v>
                </c:pt>
                <c:pt idx="10">
                  <c:v>84</c:v>
                </c:pt>
                <c:pt idx="11">
                  <c:v>84</c:v>
                </c:pt>
                <c:pt idx="12">
                  <c:v>84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R1_Oil!E6</c:f>
              <c:strCache>
                <c:ptCount val="1"/>
                <c:pt idx="0">
                  <c:v>Escalation case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R1_Oil!$A$7:$A$19</c:f>
              <c:strCache>
                <c:ptCount val="13"/>
                <c:pt idx="0">
                  <c:v>Aug-25</c:v>
                </c:pt>
                <c:pt idx="1">
                  <c:v>Sep-25</c:v>
                </c:pt>
                <c:pt idx="2">
                  <c:v>Oct-25</c:v>
                </c:pt>
                <c:pt idx="3">
                  <c:v>Nov-25</c:v>
                </c:pt>
                <c:pt idx="4">
                  <c:v>Dec-25</c:v>
                </c:pt>
                <c:pt idx="5">
                  <c:v>Jan-26</c:v>
                </c:pt>
                <c:pt idx="6">
                  <c:v>Feb-26</c:v>
                </c:pt>
                <c:pt idx="7">
                  <c:v>Mar-26</c:v>
                </c:pt>
                <c:pt idx="8">
                  <c:v>Apr-26</c:v>
                </c:pt>
                <c:pt idx="9">
                  <c:v>May-26</c:v>
                </c:pt>
                <c:pt idx="10">
                  <c:v>Jun-26</c:v>
                </c:pt>
                <c:pt idx="11">
                  <c:v>Jul-26</c:v>
                </c:pt>
                <c:pt idx="12">
                  <c:v>Aug-26</c:v>
                </c:pt>
              </c:strCache>
            </c:strRef>
          </c:cat>
          <c:val>
            <c:numRef>
              <c:f>R1_Oil!$E$7:$E$19</c:f>
              <c:numCache>
                <c:formatCode>0.0</c:formatCode>
                <c:ptCount val="13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  <c:pt idx="7">
                  <c:v>120</c:v>
                </c:pt>
                <c:pt idx="8">
                  <c:v>120</c:v>
                </c:pt>
                <c:pt idx="9">
                  <c:v>120</c:v>
                </c:pt>
                <c:pt idx="10">
                  <c:v>120</c:v>
                </c:pt>
                <c:pt idx="11">
                  <c:v>120</c:v>
                </c:pt>
                <c:pt idx="12">
                  <c:v>120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4498771"/>
        <c:axId val="48018830"/>
      </c:lineChart>
      <c:catAx>
        <c:axId val="74498771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018830"/>
        <c:crosses val="autoZero"/>
        <c:auto val="1"/>
        <c:lblAlgn val="ctr"/>
        <c:lblOffset val="100"/>
        <c:noMultiLvlLbl val="0"/>
      </c:catAx>
      <c:valAx>
        <c:axId val="480188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USD/bbl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4987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Hormuz transit calls vs pre-crisis baseline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R1_Oil!B26</c:f>
              <c:strCache>
                <c:ptCount val="1"/>
                <c:pt idx="0">
                  <c:v>Transits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R1_Oil!$A$27:$A$34</c:f>
              <c:strCache>
                <c:ptCount val="8"/>
                <c:pt idx="0">
                  <c:v>20-Feb-26</c:v>
                </c:pt>
                <c:pt idx="1">
                  <c:v>15-Mar-26</c:v>
                </c:pt>
                <c:pt idx="2">
                  <c:v>15-Apr-26</c:v>
                </c:pt>
                <c:pt idx="3">
                  <c:v>15-May-26</c:v>
                </c:pt>
                <c:pt idx="4">
                  <c:v>20-Jun-26</c:v>
                </c:pt>
                <c:pt idx="5">
                  <c:v>05-Jul-26</c:v>
                </c:pt>
                <c:pt idx="6">
                  <c:v>23-Jul-26</c:v>
                </c:pt>
                <c:pt idx="7">
                  <c:v>02-Aug-26</c:v>
                </c:pt>
              </c:strCache>
            </c:strRef>
          </c:cat>
          <c:val>
            <c:numRef>
              <c:f>R1_Oil!$B$27:$B$34</c:f>
              <c:numCache>
                <c:formatCode>General</c:formatCode>
                <c:ptCount val="8"/>
                <c:pt idx="0">
                  <c:v>71</c:v>
                </c:pt>
                <c:pt idx="1">
                  <c:v>8</c:v>
                </c:pt>
                <c:pt idx="2">
                  <c:v>4</c:v>
                </c:pt>
                <c:pt idx="3">
                  <c:v>6</c:v>
                </c:pt>
                <c:pt idx="4">
                  <c:v>34</c:v>
                </c:pt>
                <c:pt idx="5">
                  <c:v>18</c:v>
                </c:pt>
                <c:pt idx="6">
                  <c:v>10</c:v>
                </c:pt>
                <c:pt idx="7">
                  <c:v>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R1_Oil!C26</c:f>
              <c:strCache>
                <c:ptCount val="1"/>
                <c:pt idx="0">
                  <c:v>7d MA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R1_Oil!$A$27:$A$34</c:f>
              <c:strCache>
                <c:ptCount val="8"/>
                <c:pt idx="0">
                  <c:v>20-Feb-26</c:v>
                </c:pt>
                <c:pt idx="1">
                  <c:v>15-Mar-26</c:v>
                </c:pt>
                <c:pt idx="2">
                  <c:v>15-Apr-26</c:v>
                </c:pt>
                <c:pt idx="3">
                  <c:v>15-May-26</c:v>
                </c:pt>
                <c:pt idx="4">
                  <c:v>20-Jun-26</c:v>
                </c:pt>
                <c:pt idx="5">
                  <c:v>05-Jul-26</c:v>
                </c:pt>
                <c:pt idx="6">
                  <c:v>23-Jul-26</c:v>
                </c:pt>
                <c:pt idx="7">
                  <c:v>02-Aug-26</c:v>
                </c:pt>
              </c:strCache>
            </c:strRef>
          </c:cat>
          <c:val>
            <c:numRef>
              <c:f>R1_Oil!$C$27:$C$34</c:f>
              <c:numCache>
                <c:formatCode>0.0</c:formatCode>
                <c:ptCount val="8"/>
                <c:pt idx="0">
                  <c:v>71</c:v>
                </c:pt>
                <c:pt idx="1">
                  <c:v>39.5</c:v>
                </c:pt>
                <c:pt idx="2">
                  <c:v>27.6666666666667</c:v>
                </c:pt>
                <c:pt idx="3">
                  <c:v>22.25</c:v>
                </c:pt>
                <c:pt idx="4">
                  <c:v>24.6</c:v>
                </c:pt>
                <c:pt idx="5">
                  <c:v>23.5</c:v>
                </c:pt>
                <c:pt idx="6">
                  <c:v>21.5714285714286</c:v>
                </c:pt>
                <c:pt idx="7">
                  <c:v>11.7142857142857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R1_Oil!D26</c:f>
              <c:strCache>
                <c:ptCount val="1"/>
                <c:pt idx="0">
                  <c:v>Baseline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R1_Oil!$A$27:$A$34</c:f>
              <c:strCache>
                <c:ptCount val="8"/>
                <c:pt idx="0">
                  <c:v>20-Feb-26</c:v>
                </c:pt>
                <c:pt idx="1">
                  <c:v>15-Mar-26</c:v>
                </c:pt>
                <c:pt idx="2">
                  <c:v>15-Apr-26</c:v>
                </c:pt>
                <c:pt idx="3">
                  <c:v>15-May-26</c:v>
                </c:pt>
                <c:pt idx="4">
                  <c:v>20-Jun-26</c:v>
                </c:pt>
                <c:pt idx="5">
                  <c:v>05-Jul-26</c:v>
                </c:pt>
                <c:pt idx="6">
                  <c:v>23-Jul-26</c:v>
                </c:pt>
                <c:pt idx="7">
                  <c:v>02-Aug-26</c:v>
                </c:pt>
              </c:strCache>
            </c:strRef>
          </c:cat>
          <c:val>
            <c:numRef>
              <c:f>R1_Oil!$D$27:$D$34</c:f>
              <c:numCache>
                <c:formatCode>#,##0</c:formatCode>
                <c:ptCount val="8"/>
                <c:pt idx="0">
                  <c:v>73</c:v>
                </c:pt>
                <c:pt idx="1">
                  <c:v>73</c:v>
                </c:pt>
                <c:pt idx="2">
                  <c:v>73</c:v>
                </c:pt>
                <c:pt idx="3">
                  <c:v>73</c:v>
                </c:pt>
                <c:pt idx="4">
                  <c:v>73</c:v>
                </c:pt>
                <c:pt idx="5">
                  <c:v>73</c:v>
                </c:pt>
                <c:pt idx="6">
                  <c:v>73</c:v>
                </c:pt>
                <c:pt idx="7">
                  <c:v>73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2791345"/>
        <c:axId val="55648557"/>
      </c:lineChart>
      <c:catAx>
        <c:axId val="62791345"/>
        <c:scaling>
          <c:orientation val="minMax"/>
        </c:scaling>
        <c:delete val="0"/>
        <c:axPos val="b"/>
        <c:numFmt formatCode="dd\-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648557"/>
        <c:crosses val="autoZero"/>
        <c:auto val="1"/>
        <c:lblAlgn val="ctr"/>
        <c:lblOffset val="100"/>
        <c:noMultiLvlLbl val="0"/>
      </c:catAx>
      <c:valAx>
        <c:axId val="556485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Vessels per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7913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USD/JPY vs the MoF action zone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R2_BoJ!B6</c:f>
              <c:strCache>
                <c:ptCount val="1"/>
                <c:pt idx="0">
                  <c:v>USD/JPY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R2_BoJ!$A$7:$A$15</c:f>
              <c:strCache>
                <c:ptCount val="9"/>
                <c:pt idx="0">
                  <c:v>Dec-25</c:v>
                </c:pt>
                <c:pt idx="1">
                  <c:v>Jan-26</c:v>
                </c:pt>
                <c:pt idx="2">
                  <c:v>Feb-26</c:v>
                </c:pt>
                <c:pt idx="3">
                  <c:v>Mar-26</c:v>
                </c:pt>
                <c:pt idx="4">
                  <c:v>Apr-26</c:v>
                </c:pt>
                <c:pt idx="5">
                  <c:v>May-26</c:v>
                </c:pt>
                <c:pt idx="6">
                  <c:v>Jun-26</c:v>
                </c:pt>
                <c:pt idx="7">
                  <c:v>Jul-26</c:v>
                </c:pt>
                <c:pt idx="8">
                  <c:v>Aug-26</c:v>
                </c:pt>
              </c:strCache>
            </c:strRef>
          </c:cat>
          <c:val>
            <c:numRef>
              <c:f>R2_BoJ!$B$7:$B$15</c:f>
              <c:numCache>
                <c:formatCode>0.00</c:formatCode>
                <c:ptCount val="9"/>
                <c:pt idx="0">
                  <c:v>155</c:v>
                </c:pt>
                <c:pt idx="1">
                  <c:v>153</c:v>
                </c:pt>
                <c:pt idx="2">
                  <c:v>156</c:v>
                </c:pt>
                <c:pt idx="3">
                  <c:v>157</c:v>
                </c:pt>
                <c:pt idx="4">
                  <c:v>158</c:v>
                </c:pt>
                <c:pt idx="5">
                  <c:v>159.46</c:v>
                </c:pt>
                <c:pt idx="6">
                  <c:v>160.5</c:v>
                </c:pt>
                <c:pt idx="7">
                  <c:v>158.5</c:v>
                </c:pt>
                <c:pt idx="8">
                  <c:v>157.65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R2_BoJ!C6</c:f>
              <c:strCache>
                <c:ptCount val="1"/>
                <c:pt idx="0">
                  <c:v>Watch 160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R2_BoJ!$A$7:$A$15</c:f>
              <c:strCache>
                <c:ptCount val="9"/>
                <c:pt idx="0">
                  <c:v>Dec-25</c:v>
                </c:pt>
                <c:pt idx="1">
                  <c:v>Jan-26</c:v>
                </c:pt>
                <c:pt idx="2">
                  <c:v>Feb-26</c:v>
                </c:pt>
                <c:pt idx="3">
                  <c:v>Mar-26</c:v>
                </c:pt>
                <c:pt idx="4">
                  <c:v>Apr-26</c:v>
                </c:pt>
                <c:pt idx="5">
                  <c:v>May-26</c:v>
                </c:pt>
                <c:pt idx="6">
                  <c:v>Jun-26</c:v>
                </c:pt>
                <c:pt idx="7">
                  <c:v>Jul-26</c:v>
                </c:pt>
                <c:pt idx="8">
                  <c:v>Aug-26</c:v>
                </c:pt>
              </c:strCache>
            </c:strRef>
          </c:cat>
          <c:val>
            <c:numRef>
              <c:f>R2_BoJ!$C$7:$C$15</c:f>
              <c:numCache>
                <c:formatCode>General</c:formatCode>
                <c:ptCount val="9"/>
                <c:pt idx="0">
                  <c:v>160</c:v>
                </c:pt>
                <c:pt idx="1">
                  <c:v>160</c:v>
                </c:pt>
                <c:pt idx="2">
                  <c:v>160</c:v>
                </c:pt>
                <c:pt idx="3">
                  <c:v>160</c:v>
                </c:pt>
                <c:pt idx="4">
                  <c:v>160</c:v>
                </c:pt>
                <c:pt idx="5">
                  <c:v>160</c:v>
                </c:pt>
                <c:pt idx="6">
                  <c:v>160</c:v>
                </c:pt>
                <c:pt idx="7">
                  <c:v>160</c:v>
                </c:pt>
                <c:pt idx="8">
                  <c:v>160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R2_BoJ!D6</c:f>
              <c:strCache>
                <c:ptCount val="1"/>
                <c:pt idx="0">
                  <c:v>Stop 165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R2_BoJ!$A$7:$A$15</c:f>
              <c:strCache>
                <c:ptCount val="9"/>
                <c:pt idx="0">
                  <c:v>Dec-25</c:v>
                </c:pt>
                <c:pt idx="1">
                  <c:v>Jan-26</c:v>
                </c:pt>
                <c:pt idx="2">
                  <c:v>Feb-26</c:v>
                </c:pt>
                <c:pt idx="3">
                  <c:v>Mar-26</c:v>
                </c:pt>
                <c:pt idx="4">
                  <c:v>Apr-26</c:v>
                </c:pt>
                <c:pt idx="5">
                  <c:v>May-26</c:v>
                </c:pt>
                <c:pt idx="6">
                  <c:v>Jun-26</c:v>
                </c:pt>
                <c:pt idx="7">
                  <c:v>Jul-26</c:v>
                </c:pt>
                <c:pt idx="8">
                  <c:v>Aug-26</c:v>
                </c:pt>
              </c:strCache>
            </c:strRef>
          </c:cat>
          <c:val>
            <c:numRef>
              <c:f>R2_BoJ!$D$7:$D$15</c:f>
              <c:numCache>
                <c:formatCode>0.00</c:formatCode>
                <c:ptCount val="9"/>
                <c:pt idx="0">
                  <c:v>165</c:v>
                </c:pt>
                <c:pt idx="1">
                  <c:v>165</c:v>
                </c:pt>
                <c:pt idx="2">
                  <c:v>165</c:v>
                </c:pt>
                <c:pt idx="3">
                  <c:v>165</c:v>
                </c:pt>
                <c:pt idx="4">
                  <c:v>165</c:v>
                </c:pt>
                <c:pt idx="5">
                  <c:v>165</c:v>
                </c:pt>
                <c:pt idx="6">
                  <c:v>165</c:v>
                </c:pt>
                <c:pt idx="7">
                  <c:v>165</c:v>
                </c:pt>
                <c:pt idx="8">
                  <c:v>165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5209285"/>
        <c:axId val="1933992"/>
      </c:lineChart>
      <c:catAx>
        <c:axId val="55209285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33992"/>
        <c:crosses val="autoZero"/>
        <c:auto val="1"/>
        <c:lblAlgn val="ctr"/>
        <c:lblOffset val="100"/>
        <c:noMultiLvlLbl val="0"/>
      </c:catAx>
      <c:valAx>
        <c:axId val="19339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JPY per 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2092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2s10s move on BoJ hawkish events (bp)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R2_BoJ!J6</c:f>
              <c:strCache>
                <c:ptCount val="1"/>
                <c:pt idx="0">
                  <c:v>d2s10s bp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R2_BoJ!$F$7:$F$14</c:f>
              <c:strCache>
                <c:ptCount val="8"/>
                <c:pt idx="0">
                  <c:v>BoJ hike to 0.75%</c:v>
                </c:pt>
                <c:pt idx="1">
                  <c:v>BoJ hold, hawkish tone</c:v>
                </c:pt>
                <c:pt idx="2">
                  <c:v>BoJ hike to 1.00%</c:v>
                </c:pt>
                <c:pt idx="3">
                  <c:v>BoJ hold 8-1, Takata dissent</c:v>
                </c:pt>
                <c:pt idx="4">
                  <c:v>Tamura 'hike every few months'</c:v>
                </c:pt>
                <c:pt idx="5">
                  <c:v>Joint JP-US FX intervention</c:v>
                </c:pt>
                <c:pt idx="6">
                  <c:v>NEXT: BoJ meeting</c:v>
                </c:pt>
                <c:pt idx="7">
                  <c:v>NEXT: BoJ meeting</c:v>
                </c:pt>
              </c:strCache>
            </c:strRef>
          </c:cat>
          <c:val>
            <c:numRef>
              <c:f>R2_BoJ!$J$7:$J$14</c:f>
              <c:numCache>
                <c:formatCode>General</c:formatCode>
                <c:ptCount val="8"/>
              </c:numCache>
            </c:numRef>
          </c:val>
        </c:ser>
        <c:gapWidth val="150"/>
        <c:overlap val="0"/>
        <c:axId val="12066688"/>
        <c:axId val="62844609"/>
      </c:barChart>
      <c:catAx>
        <c:axId val="1206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844609"/>
        <c:crosses val="autoZero"/>
        <c:auto val="1"/>
        <c:lblAlgn val="ctr"/>
        <c:lblOffset val="100"/>
        <c:noMultiLvlLbl val="0"/>
      </c:catAx>
      <c:valAx>
        <c:axId val="628446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bp change in 2s10s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0666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Core-core vs the 2.2% stop trigger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R2_BoJ!B22</c:f>
              <c:strCache>
                <c:ptCount val="1"/>
                <c:pt idx="0">
                  <c:v>Nat'l core-core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R2_BoJ!$A$23:$A$29</c:f>
              <c:strCache>
                <c:ptCount val="7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</c:strCache>
            </c:strRef>
          </c:cat>
          <c:val>
            <c:numRef>
              <c:f>R2_BoJ!$B$23:$B$29</c:f>
              <c:numCache>
                <c:formatCode>0.0%</c:formatCode>
                <c:ptCount val="7"/>
                <c:pt idx="0">
                  <c:v>0.026</c:v>
                </c:pt>
                <c:pt idx="1">
                  <c:v>0.025</c:v>
                </c:pt>
                <c:pt idx="2">
                  <c:v>0.025</c:v>
                </c:pt>
                <c:pt idx="3">
                  <c:v>0.019</c:v>
                </c:pt>
                <c:pt idx="4">
                  <c:v>0.018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R2_BoJ!C22</c:f>
              <c:strCache>
                <c:ptCount val="1"/>
                <c:pt idx="0">
                  <c:v>Tokyo core-core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R2_BoJ!$A$23:$A$29</c:f>
              <c:strCache>
                <c:ptCount val="7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</c:strCache>
            </c:strRef>
          </c:cat>
          <c:val>
            <c:numRef>
              <c:f>R2_BoJ!$C$23:$C$29</c:f>
              <c:numCache>
                <c:formatCode>0.0%</c:formatCode>
                <c:ptCount val="7"/>
                <c:pt idx="1">
                  <c:v>0.023</c:v>
                </c:pt>
                <c:pt idx="4">
                  <c:v>0.016</c:v>
                </c:pt>
                <c:pt idx="5">
                  <c:v>0.019</c:v>
                </c:pt>
                <c:pt idx="6">
                  <c:v>0.02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R2_BoJ!D22</c:f>
              <c:strCache>
                <c:ptCount val="1"/>
                <c:pt idx="0">
                  <c:v>Trigger 2.2%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R2_BoJ!$A$23:$A$29</c:f>
              <c:strCache>
                <c:ptCount val="7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</c:strCache>
            </c:strRef>
          </c:cat>
          <c:val>
            <c:numRef>
              <c:f>R2_BoJ!$D$23:$D$29</c:f>
              <c:numCache>
                <c:formatCode>0.0%</c:formatCode>
                <c:ptCount val="7"/>
                <c:pt idx="0">
                  <c:v>0.022</c:v>
                </c:pt>
                <c:pt idx="1">
                  <c:v>0.022</c:v>
                </c:pt>
                <c:pt idx="2">
                  <c:v>0.022</c:v>
                </c:pt>
                <c:pt idx="3">
                  <c:v>0.022</c:v>
                </c:pt>
                <c:pt idx="4">
                  <c:v>0.022</c:v>
                </c:pt>
                <c:pt idx="5">
                  <c:v>0.022</c:v>
                </c:pt>
                <c:pt idx="6">
                  <c:v>0.022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3852420"/>
        <c:axId val="15267419"/>
      </c:lineChart>
      <c:catAx>
        <c:axId val="6385242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267419"/>
        <c:crosses val="autoZero"/>
        <c:auto val="1"/>
        <c:lblAlgn val="ctr"/>
        <c:lblOffset val="100"/>
        <c:noMultiLvlLbl val="0"/>
      </c:catAx>
      <c:valAx>
        <c:axId val="152674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y/y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8524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Is it a re-rating or an earnings recovery?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R3_China!D6</c:f>
              <c:strCache>
                <c:ptCount val="1"/>
                <c:pt idx="0">
                  <c:v>Price rebased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R3_China!$A$7:$A$30</c:f>
              <c:strCache>
                <c:ptCount val="24"/>
                <c:pt idx="0">
                  <c:v>Aug-24</c:v>
                </c:pt>
                <c:pt idx="1">
                  <c:v>Sep-24</c:v>
                </c:pt>
                <c:pt idx="2">
                  <c:v>Oct-24</c:v>
                </c:pt>
                <c:pt idx="3">
                  <c:v>Nov-24</c:v>
                </c:pt>
                <c:pt idx="4">
                  <c:v>Dec-24</c:v>
                </c:pt>
                <c:pt idx="5">
                  <c:v>Jan-25</c:v>
                </c:pt>
                <c:pt idx="6">
                  <c:v>Feb-25</c:v>
                </c:pt>
                <c:pt idx="7">
                  <c:v>Mar-25</c:v>
                </c:pt>
                <c:pt idx="8">
                  <c:v>Apr-25</c:v>
                </c:pt>
                <c:pt idx="9">
                  <c:v>May-25</c:v>
                </c:pt>
                <c:pt idx="10">
                  <c:v>Jun-25</c:v>
                </c:pt>
                <c:pt idx="11">
                  <c:v>Jul-25</c:v>
                </c:pt>
                <c:pt idx="12">
                  <c:v>Aug-25</c:v>
                </c:pt>
                <c:pt idx="13">
                  <c:v>Sep-25</c:v>
                </c:pt>
                <c:pt idx="14">
                  <c:v>Oct-25</c:v>
                </c:pt>
                <c:pt idx="15">
                  <c:v>Nov-25</c:v>
                </c:pt>
                <c:pt idx="16">
                  <c:v>Dec-25</c:v>
                </c:pt>
                <c:pt idx="17">
                  <c:v>Jan-26</c:v>
                </c:pt>
                <c:pt idx="18">
                  <c:v>Feb-26</c:v>
                </c:pt>
                <c:pt idx="19">
                  <c:v>Mar-26</c:v>
                </c:pt>
                <c:pt idx="20">
                  <c:v>Apr-26</c:v>
                </c:pt>
                <c:pt idx="21">
                  <c:v>May-26</c:v>
                </c:pt>
                <c:pt idx="22">
                  <c:v>Jun-26</c:v>
                </c:pt>
                <c:pt idx="23">
                  <c:v>Jul-26</c:v>
                </c:pt>
              </c:strCache>
            </c:strRef>
          </c:cat>
          <c:val>
            <c:numRef>
              <c:f>R3_China!$D$7:$D$30</c:f>
              <c:numCache>
                <c:formatCode>0.0</c:formatCode>
                <c:ptCount val="24"/>
                <c:pt idx="0">
                  <c:v>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R3_China!E6</c:f>
              <c:strCache>
                <c:ptCount val="1"/>
                <c:pt idx="0">
                  <c:v>EPS rebased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R3_China!$A$7:$A$30</c:f>
              <c:strCache>
                <c:ptCount val="24"/>
                <c:pt idx="0">
                  <c:v>Aug-24</c:v>
                </c:pt>
                <c:pt idx="1">
                  <c:v>Sep-24</c:v>
                </c:pt>
                <c:pt idx="2">
                  <c:v>Oct-24</c:v>
                </c:pt>
                <c:pt idx="3">
                  <c:v>Nov-24</c:v>
                </c:pt>
                <c:pt idx="4">
                  <c:v>Dec-24</c:v>
                </c:pt>
                <c:pt idx="5">
                  <c:v>Jan-25</c:v>
                </c:pt>
                <c:pt idx="6">
                  <c:v>Feb-25</c:v>
                </c:pt>
                <c:pt idx="7">
                  <c:v>Mar-25</c:v>
                </c:pt>
                <c:pt idx="8">
                  <c:v>Apr-25</c:v>
                </c:pt>
                <c:pt idx="9">
                  <c:v>May-25</c:v>
                </c:pt>
                <c:pt idx="10">
                  <c:v>Jun-25</c:v>
                </c:pt>
                <c:pt idx="11">
                  <c:v>Jul-25</c:v>
                </c:pt>
                <c:pt idx="12">
                  <c:v>Aug-25</c:v>
                </c:pt>
                <c:pt idx="13">
                  <c:v>Sep-25</c:v>
                </c:pt>
                <c:pt idx="14">
                  <c:v>Oct-25</c:v>
                </c:pt>
                <c:pt idx="15">
                  <c:v>Nov-25</c:v>
                </c:pt>
                <c:pt idx="16">
                  <c:v>Dec-25</c:v>
                </c:pt>
                <c:pt idx="17">
                  <c:v>Jan-26</c:v>
                </c:pt>
                <c:pt idx="18">
                  <c:v>Feb-26</c:v>
                </c:pt>
                <c:pt idx="19">
                  <c:v>Mar-26</c:v>
                </c:pt>
                <c:pt idx="20">
                  <c:v>Apr-26</c:v>
                </c:pt>
                <c:pt idx="21">
                  <c:v>May-26</c:v>
                </c:pt>
                <c:pt idx="22">
                  <c:v>Jun-26</c:v>
                </c:pt>
                <c:pt idx="23">
                  <c:v>Jul-26</c:v>
                </c:pt>
              </c:strCache>
            </c:strRef>
          </c:cat>
          <c:val>
            <c:numRef>
              <c:f>R3_China!$E$7:$E$30</c:f>
              <c:numCache>
                <c:formatCode>0.0</c:formatCode>
                <c:ptCount val="24"/>
                <c:pt idx="0">
                  <c:v>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5636503"/>
        <c:axId val="17650054"/>
      </c:lineChart>
      <c:catAx>
        <c:axId val="55636503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650054"/>
        <c:crosses val="autoZero"/>
        <c:auto val="1"/>
        <c:lblAlgn val="ctr"/>
        <c:lblOffset val="100"/>
        <c:noMultiLvlLbl val="0"/>
      </c:catAx>
      <c:valAx>
        <c:axId val="176500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Rebased to 100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6365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42</xdr:row>
      <xdr:rowOff>67320</xdr:rowOff>
    </xdr:from>
    <xdr:to>
      <xdr:col>7</xdr:col>
      <xdr:colOff>1044720</xdr:colOff>
      <xdr:row>57</xdr:row>
      <xdr:rowOff>89280</xdr:rowOff>
    </xdr:to>
    <xdr:graphicFrame>
      <xdr:nvGraphicFramePr>
        <xdr:cNvPr id="0" name="Chart 1"/>
        <xdr:cNvGraphicFramePr/>
      </xdr:nvGraphicFramePr>
      <xdr:xfrm>
        <a:off x="0" y="819144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60</xdr:row>
      <xdr:rowOff>67320</xdr:rowOff>
    </xdr:from>
    <xdr:to>
      <xdr:col>7</xdr:col>
      <xdr:colOff>1044720</xdr:colOff>
      <xdr:row>75</xdr:row>
      <xdr:rowOff>89280</xdr:rowOff>
    </xdr:to>
    <xdr:graphicFrame>
      <xdr:nvGraphicFramePr>
        <xdr:cNvPr id="1" name="Chart 2"/>
        <xdr:cNvGraphicFramePr/>
      </xdr:nvGraphicFramePr>
      <xdr:xfrm>
        <a:off x="0" y="1162044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32</xdr:row>
      <xdr:rowOff>67320</xdr:rowOff>
    </xdr:from>
    <xdr:to>
      <xdr:col>6</xdr:col>
      <xdr:colOff>395280</xdr:colOff>
      <xdr:row>47</xdr:row>
      <xdr:rowOff>89640</xdr:rowOff>
    </xdr:to>
    <xdr:graphicFrame>
      <xdr:nvGraphicFramePr>
        <xdr:cNvPr id="2" name="Chart 1"/>
        <xdr:cNvGraphicFramePr/>
      </xdr:nvGraphicFramePr>
      <xdr:xfrm>
        <a:off x="0" y="62866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32</xdr:row>
      <xdr:rowOff>67320</xdr:rowOff>
    </xdr:from>
    <xdr:to>
      <xdr:col>10</xdr:col>
      <xdr:colOff>677160</xdr:colOff>
      <xdr:row>47</xdr:row>
      <xdr:rowOff>89640</xdr:rowOff>
    </xdr:to>
    <xdr:graphicFrame>
      <xdr:nvGraphicFramePr>
        <xdr:cNvPr id="3" name="Chart 2"/>
        <xdr:cNvGraphicFramePr/>
      </xdr:nvGraphicFramePr>
      <xdr:xfrm>
        <a:off x="3453840" y="62866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50</xdr:row>
      <xdr:rowOff>67320</xdr:rowOff>
    </xdr:from>
    <xdr:to>
      <xdr:col>6</xdr:col>
      <xdr:colOff>395280</xdr:colOff>
      <xdr:row>65</xdr:row>
      <xdr:rowOff>89640</xdr:rowOff>
    </xdr:to>
    <xdr:graphicFrame>
      <xdr:nvGraphicFramePr>
        <xdr:cNvPr id="4" name="Chart 3"/>
        <xdr:cNvGraphicFramePr/>
      </xdr:nvGraphicFramePr>
      <xdr:xfrm>
        <a:off x="0" y="97156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32</xdr:row>
      <xdr:rowOff>160920</xdr:rowOff>
    </xdr:from>
    <xdr:to>
      <xdr:col>7</xdr:col>
      <xdr:colOff>551160</xdr:colOff>
      <xdr:row>49</xdr:row>
      <xdr:rowOff>162000</xdr:rowOff>
    </xdr:to>
    <xdr:graphicFrame>
      <xdr:nvGraphicFramePr>
        <xdr:cNvPr id="5" name="Chart 1"/>
        <xdr:cNvGraphicFramePr/>
      </xdr:nvGraphicFramePr>
      <xdr:xfrm>
        <a:off x="0" y="674388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2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5" min="5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</row>
    <row r="7" customFormat="false" ht="15" hidden="false" customHeight="false" outlineLevel="0" collapsed="false">
      <c r="A7" s="4" t="s">
        <v>7</v>
      </c>
      <c r="B7" s="5" t="s">
        <v>8</v>
      </c>
    </row>
    <row r="8" customFormat="false" ht="15" hidden="false" customHeight="false" outlineLevel="0" collapsed="false">
      <c r="A8" s="4" t="s">
        <v>9</v>
      </c>
      <c r="B8" s="5" t="s">
        <v>10</v>
      </c>
    </row>
    <row r="9" customFormat="false" ht="15" hidden="false" customHeight="false" outlineLevel="0" collapsed="false">
      <c r="A9" s="4" t="s">
        <v>11</v>
      </c>
      <c r="B9" s="5" t="s">
        <v>12</v>
      </c>
    </row>
    <row r="12" customFormat="false" ht="15" hidden="false" customHeight="false" outlineLevel="0" collapsed="false">
      <c r="A12" s="3" t="s">
        <v>13</v>
      </c>
    </row>
    <row r="13" customFormat="false" ht="15" hidden="false" customHeight="false" outlineLevel="0" collapsed="false">
      <c r="A13" s="5" t="s">
        <v>14</v>
      </c>
    </row>
    <row r="14" customFormat="false" ht="15" hidden="false" customHeight="false" outlineLevel="0" collapsed="false">
      <c r="A14" s="5" t="s">
        <v>15</v>
      </c>
    </row>
    <row r="15" customFormat="false" ht="15" hidden="false" customHeight="false" outlineLevel="0" collapsed="false">
      <c r="A15" s="5" t="s">
        <v>16</v>
      </c>
    </row>
    <row r="16" customFormat="false" ht="15" hidden="false" customHeight="false" outlineLevel="0" collapsed="false">
      <c r="A16" s="5" t="s">
        <v>17</v>
      </c>
    </row>
    <row r="19" customFormat="false" ht="15" hidden="false" customHeight="false" outlineLevel="0" collapsed="false">
      <c r="A19" s="3" t="s">
        <v>18</v>
      </c>
    </row>
    <row r="20" customFormat="false" ht="15" hidden="false" customHeight="false" outlineLevel="0" collapsed="false">
      <c r="A20" s="6" t="s">
        <v>19</v>
      </c>
      <c r="B20" s="6" t="s">
        <v>20</v>
      </c>
      <c r="C20" s="6" t="s">
        <v>21</v>
      </c>
      <c r="D20" s="6" t="s">
        <v>22</v>
      </c>
      <c r="E20" s="6" t="s">
        <v>23</v>
      </c>
    </row>
    <row r="21" customFormat="false" ht="27.75" hidden="false" customHeight="true" outlineLevel="0" collapsed="false">
      <c r="A21" s="7" t="s">
        <v>24</v>
      </c>
      <c r="B21" s="7" t="s">
        <v>25</v>
      </c>
      <c r="C21" s="7" t="s">
        <v>26</v>
      </c>
      <c r="D21" s="7" t="s">
        <v>27</v>
      </c>
      <c r="E21" s="7" t="s">
        <v>28</v>
      </c>
    </row>
    <row r="22" customFormat="false" ht="27.75" hidden="false" customHeight="true" outlineLevel="0" collapsed="false">
      <c r="A22" s="7" t="s">
        <v>29</v>
      </c>
      <c r="B22" s="7" t="s">
        <v>30</v>
      </c>
      <c r="C22" s="7" t="s">
        <v>31</v>
      </c>
      <c r="D22" s="7" t="s">
        <v>27</v>
      </c>
      <c r="E22" s="7" t="s">
        <v>32</v>
      </c>
    </row>
    <row r="23" customFormat="false" ht="27.75" hidden="false" customHeight="true" outlineLevel="0" collapsed="false">
      <c r="A23" s="7" t="s">
        <v>33</v>
      </c>
      <c r="B23" s="7" t="s">
        <v>34</v>
      </c>
      <c r="C23" s="7" t="s">
        <v>35</v>
      </c>
      <c r="D23" s="7" t="s">
        <v>36</v>
      </c>
      <c r="E23" s="7" t="s">
        <v>37</v>
      </c>
    </row>
    <row r="24" customFormat="false" ht="27.75" hidden="false" customHeight="true" outlineLevel="0" collapsed="false">
      <c r="A24" s="7" t="s">
        <v>38</v>
      </c>
      <c r="B24" s="7" t="s">
        <v>39</v>
      </c>
      <c r="C24" s="7" t="s">
        <v>40</v>
      </c>
      <c r="D24" s="7" t="s">
        <v>27</v>
      </c>
      <c r="E24" s="7" t="s">
        <v>41</v>
      </c>
    </row>
    <row r="25" customFormat="false" ht="27.75" hidden="false" customHeight="true" outlineLevel="0" collapsed="false">
      <c r="A25" s="7" t="s">
        <v>42</v>
      </c>
      <c r="B25" s="7" t="s">
        <v>43</v>
      </c>
      <c r="C25" s="7" t="s">
        <v>44</v>
      </c>
      <c r="D25" s="7" t="s">
        <v>27</v>
      </c>
      <c r="E25" s="7" t="s">
        <v>45</v>
      </c>
    </row>
    <row r="26" customFormat="false" ht="27.75" hidden="false" customHeight="true" outlineLevel="0" collapsed="false">
      <c r="A26" s="7" t="s">
        <v>46</v>
      </c>
      <c r="B26" s="7" t="s">
        <v>47</v>
      </c>
      <c r="C26" s="7" t="s">
        <v>48</v>
      </c>
      <c r="D26" s="7" t="s">
        <v>27</v>
      </c>
      <c r="E26" s="7" t="s">
        <v>49</v>
      </c>
    </row>
    <row r="27" customFormat="false" ht="27.75" hidden="false" customHeight="true" outlineLevel="0" collapsed="false">
      <c r="A27" s="7" t="s">
        <v>50</v>
      </c>
      <c r="B27" s="7" t="s">
        <v>51</v>
      </c>
      <c r="C27" s="7" t="s">
        <v>52</v>
      </c>
      <c r="D27" s="7" t="s">
        <v>27</v>
      </c>
      <c r="E27" s="7" t="s">
        <v>53</v>
      </c>
    </row>
    <row r="28" customFormat="false" ht="27.75" hidden="false" customHeight="true" outlineLevel="0" collapsed="false">
      <c r="A28" s="7" t="s">
        <v>54</v>
      </c>
      <c r="B28" s="7" t="s">
        <v>55</v>
      </c>
      <c r="C28" s="7" t="s">
        <v>56</v>
      </c>
      <c r="D28" s="7" t="s">
        <v>27</v>
      </c>
      <c r="E28" s="7" t="s">
        <v>57</v>
      </c>
    </row>
    <row r="29" customFormat="false" ht="27.75" hidden="false" customHeight="true" outlineLevel="0" collapsed="false">
      <c r="A29" s="7" t="s">
        <v>58</v>
      </c>
      <c r="B29" s="7" t="s">
        <v>59</v>
      </c>
      <c r="C29" s="7" t="s">
        <v>60</v>
      </c>
      <c r="D29" s="7" t="s">
        <v>36</v>
      </c>
      <c r="E29" s="7" t="s">
        <v>61</v>
      </c>
    </row>
    <row r="30" customFormat="false" ht="27.75" hidden="false" customHeight="true" outlineLevel="0" collapsed="false">
      <c r="A30" s="7" t="s">
        <v>62</v>
      </c>
      <c r="B30" s="7" t="s">
        <v>63</v>
      </c>
      <c r="C30" s="7" t="s">
        <v>64</v>
      </c>
      <c r="D30" s="7" t="s">
        <v>36</v>
      </c>
      <c r="E30" s="7" t="s">
        <v>65</v>
      </c>
    </row>
    <row r="31" customFormat="false" ht="27.75" hidden="false" customHeight="true" outlineLevel="0" collapsed="false">
      <c r="A31" s="7" t="s">
        <v>66</v>
      </c>
      <c r="B31" s="7" t="s">
        <v>67</v>
      </c>
      <c r="C31" s="7" t="s">
        <v>68</v>
      </c>
      <c r="D31" s="7" t="s">
        <v>27</v>
      </c>
      <c r="E31" s="7" t="s">
        <v>69</v>
      </c>
    </row>
    <row r="33" customFormat="false" ht="15" hidden="false" customHeight="false" outlineLevel="0" collapsed="false">
      <c r="A33" s="2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71</v>
      </c>
    </row>
    <row r="2" customFormat="false" ht="15" hidden="false" customHeight="false" outlineLevel="0" collapsed="false">
      <c r="A2" s="2" t="s">
        <v>72</v>
      </c>
    </row>
    <row r="4" customFormat="false" ht="15" hidden="false" customHeight="false" outlineLevel="0" collapsed="false">
      <c r="A4" s="6" t="s">
        <v>73</v>
      </c>
      <c r="B4" s="6" t="s">
        <v>74</v>
      </c>
      <c r="C4" s="6" t="s">
        <v>75</v>
      </c>
      <c r="D4" s="6" t="s">
        <v>76</v>
      </c>
    </row>
    <row r="5" customFormat="false" ht="15" hidden="false" customHeight="false" outlineLevel="0" collapsed="false">
      <c r="A5" s="8" t="s">
        <v>77</v>
      </c>
      <c r="B5" s="9"/>
      <c r="C5" s="9"/>
      <c r="D5" s="9"/>
    </row>
    <row r="6" customFormat="false" ht="15" hidden="false" customHeight="false" outlineLevel="0" collapsed="false">
      <c r="A6" s="10" t="s">
        <v>78</v>
      </c>
      <c r="B6" s="11" t="n">
        <v>83.55</v>
      </c>
      <c r="C6" s="10" t="s">
        <v>79</v>
      </c>
      <c r="D6" s="12" t="s">
        <v>80</v>
      </c>
    </row>
    <row r="7" customFormat="false" ht="15" hidden="false" customHeight="false" outlineLevel="0" collapsed="false">
      <c r="A7" s="10" t="s">
        <v>81</v>
      </c>
      <c r="B7" s="11" t="n">
        <v>120.88</v>
      </c>
      <c r="C7" s="10" t="s">
        <v>79</v>
      </c>
      <c r="D7" s="12" t="s">
        <v>82</v>
      </c>
    </row>
    <row r="8" customFormat="false" ht="15" hidden="false" customHeight="false" outlineLevel="0" collapsed="false">
      <c r="A8" s="10" t="s">
        <v>83</v>
      </c>
      <c r="B8" s="11" t="n">
        <v>58.66</v>
      </c>
      <c r="C8" s="10" t="s">
        <v>79</v>
      </c>
      <c r="D8" s="12" t="s">
        <v>84</v>
      </c>
    </row>
    <row r="9" customFormat="false" ht="15" hidden="false" customHeight="false" outlineLevel="0" collapsed="false">
      <c r="A9" s="10" t="s">
        <v>85</v>
      </c>
      <c r="B9" s="13" t="n">
        <v>0.2547</v>
      </c>
      <c r="C9" s="10" t="s">
        <v>86</v>
      </c>
      <c r="D9" s="12" t="s">
        <v>87</v>
      </c>
    </row>
    <row r="10" customFormat="false" ht="15" hidden="false" customHeight="false" outlineLevel="0" collapsed="false">
      <c r="A10" s="10" t="s">
        <v>88</v>
      </c>
      <c r="B10" s="11" t="n">
        <v>157.65</v>
      </c>
      <c r="C10" s="10" t="s">
        <v>89</v>
      </c>
      <c r="D10" s="12" t="s">
        <v>90</v>
      </c>
    </row>
    <row r="11" customFormat="false" ht="15" hidden="false" customHeight="false" outlineLevel="0" collapsed="false">
      <c r="A11" s="10" t="s">
        <v>91</v>
      </c>
      <c r="B11" s="13" t="n">
        <v>-0.0304</v>
      </c>
      <c r="C11" s="10" t="s">
        <v>86</v>
      </c>
      <c r="D11" s="12" t="s">
        <v>92</v>
      </c>
    </row>
    <row r="12" customFormat="false" ht="15" hidden="false" customHeight="false" outlineLevel="0" collapsed="false">
      <c r="A12" s="8" t="s">
        <v>93</v>
      </c>
      <c r="B12" s="9"/>
      <c r="C12" s="9"/>
      <c r="D12" s="9"/>
    </row>
    <row r="13" customFormat="false" ht="15" hidden="false" customHeight="false" outlineLevel="0" collapsed="false">
      <c r="A13" s="10" t="s">
        <v>94</v>
      </c>
      <c r="B13" s="14" t="n">
        <v>2</v>
      </c>
      <c r="C13" s="10" t="s">
        <v>95</v>
      </c>
      <c r="D13" s="12" t="s">
        <v>96</v>
      </c>
    </row>
    <row r="14" customFormat="false" ht="15" hidden="false" customHeight="false" outlineLevel="0" collapsed="false">
      <c r="A14" s="10" t="s">
        <v>97</v>
      </c>
      <c r="B14" s="14" t="n">
        <v>73</v>
      </c>
      <c r="C14" s="10" t="s">
        <v>95</v>
      </c>
      <c r="D14" s="12" t="s">
        <v>98</v>
      </c>
    </row>
    <row r="15" customFormat="false" ht="15" hidden="false" customHeight="false" outlineLevel="0" collapsed="false">
      <c r="A15" s="10" t="s">
        <v>99</v>
      </c>
      <c r="B15" s="14" t="n">
        <v>163</v>
      </c>
      <c r="C15" s="10" t="s">
        <v>100</v>
      </c>
      <c r="D15" s="12" t="s">
        <v>101</v>
      </c>
    </row>
    <row r="16" customFormat="false" ht="15" hidden="false" customHeight="false" outlineLevel="0" collapsed="false">
      <c r="A16" s="8" t="s">
        <v>102</v>
      </c>
      <c r="B16" s="9"/>
      <c r="C16" s="9"/>
      <c r="D16" s="9"/>
    </row>
    <row r="17" customFormat="false" ht="15" hidden="false" customHeight="false" outlineLevel="0" collapsed="false">
      <c r="A17" s="10" t="s">
        <v>103</v>
      </c>
      <c r="B17" s="13" t="n">
        <v>0.01</v>
      </c>
      <c r="C17" s="10" t="s">
        <v>86</v>
      </c>
      <c r="D17" s="12" t="s">
        <v>104</v>
      </c>
    </row>
    <row r="18" customFormat="false" ht="15" hidden="false" customHeight="false" outlineLevel="0" collapsed="false">
      <c r="A18" s="10" t="s">
        <v>105</v>
      </c>
      <c r="B18" s="13" t="n">
        <v>0.022</v>
      </c>
      <c r="C18" s="10" t="s">
        <v>86</v>
      </c>
      <c r="D18" s="12" t="s">
        <v>106</v>
      </c>
    </row>
    <row r="19" customFormat="false" ht="15" hidden="false" customHeight="false" outlineLevel="0" collapsed="false">
      <c r="A19" s="10" t="s">
        <v>107</v>
      </c>
      <c r="B19" s="13" t="n">
        <v>0.025</v>
      </c>
      <c r="C19" s="10" t="s">
        <v>86</v>
      </c>
      <c r="D19" s="12" t="s">
        <v>108</v>
      </c>
    </row>
    <row r="20" customFormat="false" ht="15" hidden="false" customHeight="false" outlineLevel="0" collapsed="false">
      <c r="A20" s="10" t="s">
        <v>109</v>
      </c>
      <c r="B20" s="13" t="n">
        <v>0.018</v>
      </c>
      <c r="C20" s="10" t="s">
        <v>86</v>
      </c>
      <c r="D20" s="12" t="s">
        <v>110</v>
      </c>
    </row>
    <row r="21" customFormat="false" ht="15" hidden="false" customHeight="false" outlineLevel="0" collapsed="false">
      <c r="A21" s="10" t="s">
        <v>111</v>
      </c>
      <c r="B21" s="13" t="n">
        <v>0.02</v>
      </c>
      <c r="C21" s="10" t="s">
        <v>86</v>
      </c>
      <c r="D21" s="12" t="s">
        <v>112</v>
      </c>
    </row>
    <row r="22" customFormat="false" ht="15" hidden="false" customHeight="false" outlineLevel="0" collapsed="false">
      <c r="A22" s="10" t="s">
        <v>113</v>
      </c>
      <c r="B22" s="13" t="n">
        <v>0.015</v>
      </c>
      <c r="C22" s="10" t="s">
        <v>86</v>
      </c>
      <c r="D22" s="12" t="s">
        <v>114</v>
      </c>
    </row>
    <row r="23" customFormat="false" ht="15" hidden="false" customHeight="false" outlineLevel="0" collapsed="false">
      <c r="A23" s="10" t="s">
        <v>115</v>
      </c>
      <c r="B23" s="13" t="n">
        <v>0.027</v>
      </c>
      <c r="C23" s="10" t="s">
        <v>86</v>
      </c>
      <c r="D23" s="12" t="s">
        <v>116</v>
      </c>
    </row>
    <row r="24" customFormat="false" ht="15" hidden="false" customHeight="false" outlineLevel="0" collapsed="false">
      <c r="A24" s="10" t="s">
        <v>117</v>
      </c>
      <c r="B24" s="13" t="n">
        <v>0.02</v>
      </c>
      <c r="C24" s="10" t="s">
        <v>86</v>
      </c>
      <c r="D24" s="12" t="s">
        <v>118</v>
      </c>
    </row>
    <row r="25" customFormat="false" ht="15" hidden="false" customHeight="false" outlineLevel="0" collapsed="false">
      <c r="A25" s="8" t="s">
        <v>119</v>
      </c>
      <c r="B25" s="9"/>
      <c r="C25" s="9"/>
      <c r="D25" s="9"/>
    </row>
    <row r="26" customFormat="false" ht="15" hidden="false" customHeight="false" outlineLevel="0" collapsed="false">
      <c r="A26" s="10" t="s">
        <v>120</v>
      </c>
      <c r="B26" s="14" t="n">
        <v>120.5</v>
      </c>
      <c r="C26" s="10" t="s">
        <v>121</v>
      </c>
      <c r="D26" s="12" t="s">
        <v>122</v>
      </c>
    </row>
    <row r="27" customFormat="false" ht="15" hidden="false" customHeight="false" outlineLevel="0" collapsed="false">
      <c r="A27" s="10" t="s">
        <v>123</v>
      </c>
      <c r="B27" s="14" t="n">
        <v>160</v>
      </c>
      <c r="C27" s="10" t="s">
        <v>121</v>
      </c>
      <c r="D27" s="12" t="s">
        <v>124</v>
      </c>
    </row>
    <row r="28" customFormat="false" ht="15" hidden="false" customHeight="false" outlineLevel="0" collapsed="false">
      <c r="A28" s="10" t="s">
        <v>125</v>
      </c>
      <c r="B28" s="14" t="n">
        <v>98</v>
      </c>
      <c r="C28" s="10" t="s">
        <v>121</v>
      </c>
      <c r="D28" s="12" t="s">
        <v>126</v>
      </c>
    </row>
    <row r="29" customFormat="false" ht="15" hidden="false" customHeight="false" outlineLevel="0" collapsed="false">
      <c r="A29" s="10" t="s">
        <v>127</v>
      </c>
      <c r="B29" s="11" t="n">
        <v>165</v>
      </c>
      <c r="C29" s="10" t="s">
        <v>89</v>
      </c>
      <c r="D29" s="12" t="s">
        <v>128</v>
      </c>
    </row>
    <row r="30" customFormat="false" ht="15" hidden="false" customHeight="false" outlineLevel="0" collapsed="false">
      <c r="A30" s="10" t="s">
        <v>129</v>
      </c>
      <c r="B30" s="13" t="n">
        <v>0.022</v>
      </c>
      <c r="C30" s="10" t="s">
        <v>86</v>
      </c>
      <c r="D30" s="12" t="s">
        <v>130</v>
      </c>
    </row>
    <row r="31" customFormat="false" ht="15" hidden="false" customHeight="false" outlineLevel="0" collapsed="false">
      <c r="A31" s="10" t="s">
        <v>131</v>
      </c>
      <c r="B31" s="14" t="n">
        <v>0.3</v>
      </c>
      <c r="C31" s="10" t="s">
        <v>132</v>
      </c>
      <c r="D31" s="12" t="s">
        <v>124</v>
      </c>
    </row>
    <row r="32" customFormat="false" ht="15" hidden="false" customHeight="false" outlineLevel="0" collapsed="false">
      <c r="A32" s="10" t="s">
        <v>133</v>
      </c>
      <c r="B32" s="15"/>
      <c r="C32" s="10" t="s">
        <v>132</v>
      </c>
      <c r="D32" s="12" t="s">
        <v>134</v>
      </c>
    </row>
    <row r="34" customFormat="false" ht="15" hidden="false" customHeight="false" outlineLevel="0" collapsed="false">
      <c r="A34" s="5" t="s">
        <v>135</v>
      </c>
      <c r="B34" s="16" t="n">
        <f aca="false">DATE(2026,8,10)-DATE(2026,2,28)</f>
        <v>163</v>
      </c>
      <c r="D34" s="2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1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3"/>
    <col collapsed="false" customWidth="true" hidden="false" outlineLevel="0" max="8" min="8" style="0" width="20"/>
    <col collapsed="false" customWidth="true" hidden="false" outlineLevel="0" max="11" min="9" style="0" width="12"/>
    <col collapsed="false" customWidth="true" hidden="false" outlineLevel="0" max="12" min="12" style="0" width="40"/>
  </cols>
  <sheetData>
    <row r="1" customFormat="false" ht="17.35" hidden="false" customHeight="false" outlineLevel="0" collapsed="false">
      <c r="A1" s="1" t="s">
        <v>137</v>
      </c>
    </row>
    <row r="2" customFormat="false" ht="15" hidden="false" customHeight="false" outlineLevel="0" collapsed="false">
      <c r="A2" s="2" t="s">
        <v>138</v>
      </c>
    </row>
    <row r="4" customFormat="false" ht="15" hidden="false" customHeight="false" outlineLevel="0" collapsed="false">
      <c r="A4" s="3" t="s">
        <v>139</v>
      </c>
      <c r="H4" s="3" t="s">
        <v>140</v>
      </c>
    </row>
    <row r="5" customFormat="false" ht="15" hidden="false" customHeight="false" outlineLevel="0" collapsed="false">
      <c r="A5" s="2" t="s">
        <v>141</v>
      </c>
      <c r="H5" s="2" t="s">
        <v>142</v>
      </c>
    </row>
    <row r="6" customFormat="false" ht="22.35" hidden="false" customHeight="false" outlineLevel="0" collapsed="false">
      <c r="A6" s="6" t="s">
        <v>143</v>
      </c>
      <c r="B6" s="6" t="s">
        <v>144</v>
      </c>
      <c r="C6" s="6" t="s">
        <v>145</v>
      </c>
      <c r="D6" s="6" t="s">
        <v>146</v>
      </c>
      <c r="E6" s="6" t="s">
        <v>147</v>
      </c>
      <c r="F6" s="6" t="s">
        <v>148</v>
      </c>
      <c r="H6" s="6" t="s">
        <v>149</v>
      </c>
      <c r="I6" s="6" t="s">
        <v>150</v>
      </c>
      <c r="J6" s="6" t="s">
        <v>151</v>
      </c>
      <c r="K6" s="6" t="s">
        <v>152</v>
      </c>
    </row>
    <row r="7" customFormat="false" ht="15" hidden="false" customHeight="false" outlineLevel="0" collapsed="false">
      <c r="A7" s="17" t="n">
        <v>45900</v>
      </c>
      <c r="B7" s="18" t="n">
        <v>66.5</v>
      </c>
      <c r="C7" s="19" t="n">
        <f aca="false">Bands!$B$4</f>
        <v>62</v>
      </c>
      <c r="D7" s="19" t="n">
        <f aca="false">Bands!$B$5</f>
        <v>84</v>
      </c>
      <c r="E7" s="19" t="n">
        <f aca="false">Bands!$B$6</f>
        <v>120</v>
      </c>
      <c r="F7" s="2" t="s">
        <v>153</v>
      </c>
      <c r="H7" s="20" t="s">
        <v>154</v>
      </c>
      <c r="I7" s="21" t="n">
        <v>0.052</v>
      </c>
      <c r="J7" s="21" t="n">
        <v>-0.018</v>
      </c>
      <c r="K7" s="22" t="n">
        <v>4.5</v>
      </c>
    </row>
    <row r="8" customFormat="false" ht="15" hidden="false" customHeight="false" outlineLevel="0" collapsed="false">
      <c r="A8" s="17" t="n">
        <v>45930</v>
      </c>
      <c r="B8" s="18" t="n">
        <v>67</v>
      </c>
      <c r="C8" s="19" t="n">
        <f aca="false">Bands!$B$4</f>
        <v>62</v>
      </c>
      <c r="D8" s="19" t="n">
        <f aca="false">Bands!$B$5</f>
        <v>84</v>
      </c>
      <c r="E8" s="19" t="n">
        <f aca="false">Bands!$B$6</f>
        <v>120</v>
      </c>
      <c r="F8" s="2" t="s">
        <v>153</v>
      </c>
      <c r="H8" s="23"/>
      <c r="I8" s="24"/>
      <c r="J8" s="24"/>
      <c r="K8" s="23"/>
    </row>
    <row r="9" customFormat="false" ht="15" hidden="false" customHeight="false" outlineLevel="0" collapsed="false">
      <c r="A9" s="17" t="n">
        <v>45961</v>
      </c>
      <c r="B9" s="18" t="n">
        <v>64.5</v>
      </c>
      <c r="C9" s="19" t="n">
        <f aca="false">Bands!$B$4</f>
        <v>62</v>
      </c>
      <c r="D9" s="19" t="n">
        <f aca="false">Bands!$B$5</f>
        <v>84</v>
      </c>
      <c r="E9" s="19" t="n">
        <f aca="false">Bands!$B$6</f>
        <v>120</v>
      </c>
      <c r="F9" s="2" t="s">
        <v>153</v>
      </c>
      <c r="H9" s="23"/>
      <c r="I9" s="24"/>
      <c r="J9" s="24"/>
      <c r="K9" s="23"/>
    </row>
    <row r="10" customFormat="false" ht="15" hidden="false" customHeight="false" outlineLevel="0" collapsed="false">
      <c r="A10" s="17" t="n">
        <v>45991</v>
      </c>
      <c r="B10" s="18" t="n">
        <v>62</v>
      </c>
      <c r="C10" s="19" t="n">
        <f aca="false">Bands!$B$4</f>
        <v>62</v>
      </c>
      <c r="D10" s="19" t="n">
        <f aca="false">Bands!$B$5</f>
        <v>84</v>
      </c>
      <c r="E10" s="19" t="n">
        <f aca="false">Bands!$B$6</f>
        <v>120</v>
      </c>
      <c r="F10" s="2" t="s">
        <v>153</v>
      </c>
      <c r="H10" s="23"/>
      <c r="I10" s="24"/>
      <c r="J10" s="24"/>
      <c r="K10" s="23"/>
    </row>
    <row r="11" customFormat="false" ht="15" hidden="false" customHeight="false" outlineLevel="0" collapsed="false">
      <c r="A11" s="17" t="n">
        <v>46022</v>
      </c>
      <c r="B11" s="25" t="n">
        <v>60</v>
      </c>
      <c r="C11" s="19" t="n">
        <f aca="false">Bands!$B$4</f>
        <v>62</v>
      </c>
      <c r="D11" s="19" t="n">
        <f aca="false">Bands!$B$5</f>
        <v>84</v>
      </c>
      <c r="E11" s="19" t="n">
        <f aca="false">Bands!$B$6</f>
        <v>120</v>
      </c>
      <c r="F11" s="2" t="s">
        <v>155</v>
      </c>
      <c r="H11" s="23"/>
      <c r="I11" s="24"/>
      <c r="J11" s="24"/>
      <c r="K11" s="23"/>
    </row>
    <row r="12" customFormat="false" ht="15" hidden="false" customHeight="false" outlineLevel="0" collapsed="false">
      <c r="A12" s="17" t="n">
        <v>46053</v>
      </c>
      <c r="B12" s="25" t="n">
        <v>70.69</v>
      </c>
      <c r="C12" s="19" t="n">
        <f aca="false">Bands!$B$4</f>
        <v>62</v>
      </c>
      <c r="D12" s="19" t="n">
        <f aca="false">Bands!$B$5</f>
        <v>84</v>
      </c>
      <c r="E12" s="19" t="n">
        <f aca="false">Bands!$B$6</f>
        <v>120</v>
      </c>
      <c r="F12" s="2" t="s">
        <v>156</v>
      </c>
      <c r="H12" s="23"/>
      <c r="I12" s="24"/>
      <c r="J12" s="24"/>
      <c r="K12" s="23"/>
    </row>
    <row r="13" customFormat="false" ht="15" hidden="false" customHeight="false" outlineLevel="0" collapsed="false">
      <c r="A13" s="17" t="n">
        <v>46081</v>
      </c>
      <c r="B13" s="25" t="n">
        <v>72.48</v>
      </c>
      <c r="C13" s="19" t="n">
        <f aca="false">Bands!$B$4</f>
        <v>62</v>
      </c>
      <c r="D13" s="19" t="n">
        <f aca="false">Bands!$B$5</f>
        <v>84</v>
      </c>
      <c r="E13" s="19" t="n">
        <f aca="false">Bands!$B$6</f>
        <v>120</v>
      </c>
      <c r="F13" s="2" t="s">
        <v>157</v>
      </c>
      <c r="H13" s="23"/>
      <c r="I13" s="24"/>
      <c r="J13" s="24"/>
      <c r="K13" s="23"/>
    </row>
    <row r="14" customFormat="false" ht="15" hidden="false" customHeight="false" outlineLevel="0" collapsed="false">
      <c r="A14" s="17" t="n">
        <v>46112</v>
      </c>
      <c r="B14" s="25" t="n">
        <v>81.49</v>
      </c>
      <c r="C14" s="19" t="n">
        <f aca="false">Bands!$B$4</f>
        <v>62</v>
      </c>
      <c r="D14" s="19" t="n">
        <f aca="false">Bands!$B$5</f>
        <v>84</v>
      </c>
      <c r="E14" s="19" t="n">
        <f aca="false">Bands!$B$6</f>
        <v>120</v>
      </c>
      <c r="F14" s="2" t="s">
        <v>158</v>
      </c>
      <c r="H14" s="23"/>
      <c r="I14" s="24"/>
      <c r="J14" s="24"/>
      <c r="K14" s="23"/>
    </row>
    <row r="15" customFormat="false" ht="15" hidden="false" customHeight="false" outlineLevel="0" collapsed="false">
      <c r="A15" s="17" t="n">
        <v>46142</v>
      </c>
      <c r="B15" s="25" t="n">
        <v>120.88</v>
      </c>
      <c r="C15" s="19" t="n">
        <f aca="false">Bands!$B$4</f>
        <v>62</v>
      </c>
      <c r="D15" s="19" t="n">
        <f aca="false">Bands!$B$5</f>
        <v>84</v>
      </c>
      <c r="E15" s="19" t="n">
        <f aca="false">Bands!$B$6</f>
        <v>120</v>
      </c>
      <c r="F15" s="2" t="s">
        <v>159</v>
      </c>
      <c r="H15" s="23"/>
      <c r="I15" s="24"/>
      <c r="J15" s="24"/>
      <c r="K15" s="23"/>
    </row>
    <row r="16" customFormat="false" ht="15" hidden="false" customHeight="false" outlineLevel="0" collapsed="false">
      <c r="A16" s="17" t="n">
        <v>46173</v>
      </c>
      <c r="B16" s="18" t="n">
        <v>102</v>
      </c>
      <c r="C16" s="19" t="n">
        <f aca="false">Bands!$B$4</f>
        <v>62</v>
      </c>
      <c r="D16" s="19" t="n">
        <f aca="false">Bands!$B$5</f>
        <v>84</v>
      </c>
      <c r="E16" s="19" t="n">
        <f aca="false">Bands!$B$6</f>
        <v>120</v>
      </c>
      <c r="F16" s="2" t="s">
        <v>153</v>
      </c>
      <c r="H16" s="23"/>
      <c r="I16" s="24"/>
      <c r="J16" s="24"/>
      <c r="K16" s="23"/>
    </row>
    <row r="17" customFormat="false" ht="15" hidden="false" customHeight="false" outlineLevel="0" collapsed="false">
      <c r="A17" s="17" t="n">
        <v>46203</v>
      </c>
      <c r="B17" s="18" t="n">
        <v>88</v>
      </c>
      <c r="C17" s="19" t="n">
        <f aca="false">Bands!$B$4</f>
        <v>62</v>
      </c>
      <c r="D17" s="19" t="n">
        <f aca="false">Bands!$B$5</f>
        <v>84</v>
      </c>
      <c r="E17" s="19" t="n">
        <f aca="false">Bands!$B$6</f>
        <v>120</v>
      </c>
      <c r="F17" s="2" t="s">
        <v>160</v>
      </c>
      <c r="H17" s="23"/>
      <c r="I17" s="24"/>
      <c r="J17" s="24"/>
      <c r="K17" s="23"/>
    </row>
    <row r="18" customFormat="false" ht="15" hidden="false" customHeight="false" outlineLevel="0" collapsed="false">
      <c r="A18" s="17" t="n">
        <v>46234</v>
      </c>
      <c r="B18" s="18" t="n">
        <v>78</v>
      </c>
      <c r="C18" s="19" t="n">
        <f aca="false">Bands!$B$4</f>
        <v>62</v>
      </c>
      <c r="D18" s="19" t="n">
        <f aca="false">Bands!$B$5</f>
        <v>84</v>
      </c>
      <c r="E18" s="19" t="n">
        <f aca="false">Bands!$B$6</f>
        <v>120</v>
      </c>
      <c r="F18" s="2" t="s">
        <v>153</v>
      </c>
      <c r="H18" s="23"/>
      <c r="I18" s="24"/>
      <c r="J18" s="24"/>
      <c r="K18" s="23"/>
    </row>
    <row r="19" customFormat="false" ht="15" hidden="false" customHeight="false" outlineLevel="0" collapsed="false">
      <c r="A19" s="17" t="n">
        <v>46241</v>
      </c>
      <c r="B19" s="25" t="n">
        <v>83.55</v>
      </c>
      <c r="C19" s="19" t="n">
        <f aca="false">Bands!$B$4</f>
        <v>62</v>
      </c>
      <c r="D19" s="19" t="n">
        <f aca="false">Bands!$B$5</f>
        <v>84</v>
      </c>
      <c r="E19" s="19" t="n">
        <f aca="false">Bands!$B$6</f>
        <v>120</v>
      </c>
      <c r="F19" s="2" t="s">
        <v>156</v>
      </c>
      <c r="H19" s="23"/>
      <c r="I19" s="24"/>
      <c r="J19" s="24"/>
      <c r="K19" s="23"/>
    </row>
    <row r="20" customFormat="false" ht="15" hidden="false" customHeight="false" outlineLevel="0" collapsed="false">
      <c r="H20" s="23"/>
      <c r="I20" s="24"/>
      <c r="J20" s="24"/>
      <c r="K20" s="23"/>
    </row>
    <row r="21" customFormat="false" ht="15" hidden="false" customHeight="false" outlineLevel="0" collapsed="false">
      <c r="H21" s="23"/>
      <c r="I21" s="24"/>
      <c r="J21" s="24"/>
      <c r="K21" s="23"/>
    </row>
    <row r="22" customFormat="false" ht="15" hidden="false" customHeight="false" outlineLevel="0" collapsed="false">
      <c r="H22" s="23"/>
      <c r="I22" s="24"/>
      <c r="J22" s="24"/>
      <c r="K22" s="23"/>
    </row>
    <row r="23" customFormat="false" ht="15" hidden="false" customHeight="false" outlineLevel="0" collapsed="false">
      <c r="H23" s="23"/>
      <c r="I23" s="24"/>
      <c r="J23" s="24"/>
      <c r="K23" s="23"/>
    </row>
    <row r="24" customFormat="false" ht="15" hidden="false" customHeight="false" outlineLevel="0" collapsed="false">
      <c r="A24" s="3" t="s">
        <v>161</v>
      </c>
      <c r="H24" s="23"/>
      <c r="I24" s="24"/>
      <c r="J24" s="24"/>
      <c r="K24" s="23"/>
    </row>
    <row r="25" customFormat="false" ht="15" hidden="false" customHeight="false" outlineLevel="0" collapsed="false">
      <c r="A25" s="2" t="s">
        <v>162</v>
      </c>
      <c r="H25" s="23"/>
      <c r="I25" s="24"/>
      <c r="J25" s="24"/>
      <c r="K25" s="23"/>
    </row>
    <row r="26" customFormat="false" ht="15" hidden="false" customHeight="false" outlineLevel="0" collapsed="false">
      <c r="A26" s="6" t="s">
        <v>143</v>
      </c>
      <c r="B26" s="6" t="s">
        <v>163</v>
      </c>
      <c r="C26" s="6" t="s">
        <v>164</v>
      </c>
      <c r="D26" s="6" t="s">
        <v>165</v>
      </c>
      <c r="H26" s="23"/>
      <c r="I26" s="24"/>
      <c r="J26" s="24"/>
      <c r="K26" s="23"/>
    </row>
    <row r="27" customFormat="false" ht="15" hidden="false" customHeight="false" outlineLevel="0" collapsed="false">
      <c r="A27" s="26" t="n">
        <v>46073</v>
      </c>
      <c r="B27" s="27" t="n">
        <v>71</v>
      </c>
      <c r="C27" s="19" t="n">
        <f aca="false">IFERROR(AVERAGE(B27:B27),"")</f>
        <v>71</v>
      </c>
      <c r="D27" s="28" t="n">
        <f aca="false">Inputs!$B$14</f>
        <v>73</v>
      </c>
      <c r="H27" s="23"/>
      <c r="I27" s="24"/>
      <c r="J27" s="24"/>
      <c r="K27" s="23"/>
    </row>
    <row r="28" customFormat="false" ht="15" hidden="false" customHeight="false" outlineLevel="0" collapsed="false">
      <c r="A28" s="26" t="n">
        <v>46096</v>
      </c>
      <c r="B28" s="27" t="n">
        <v>8</v>
      </c>
      <c r="C28" s="19" t="n">
        <f aca="false">IFERROR(AVERAGE(B27:B28),"")</f>
        <v>39.5</v>
      </c>
      <c r="D28" s="28" t="n">
        <f aca="false">Inputs!$B$14</f>
        <v>73</v>
      </c>
      <c r="H28" s="23"/>
      <c r="I28" s="24"/>
      <c r="J28" s="24"/>
      <c r="K28" s="23"/>
    </row>
    <row r="29" customFormat="false" ht="15" hidden="false" customHeight="false" outlineLevel="0" collapsed="false">
      <c r="A29" s="26" t="n">
        <v>46127</v>
      </c>
      <c r="B29" s="27" t="n">
        <v>4</v>
      </c>
      <c r="C29" s="19" t="n">
        <f aca="false">IFERROR(AVERAGE(B27:B29),"")</f>
        <v>27.6666666666667</v>
      </c>
      <c r="D29" s="28" t="n">
        <f aca="false">Inputs!$B$14</f>
        <v>73</v>
      </c>
      <c r="H29" s="23"/>
      <c r="I29" s="24"/>
      <c r="J29" s="24"/>
      <c r="K29" s="23"/>
    </row>
    <row r="30" customFormat="false" ht="15" hidden="false" customHeight="false" outlineLevel="0" collapsed="false">
      <c r="A30" s="26" t="n">
        <v>46157</v>
      </c>
      <c r="B30" s="27" t="n">
        <v>6</v>
      </c>
      <c r="C30" s="19" t="n">
        <f aca="false">IFERROR(AVERAGE(B27:B30),"")</f>
        <v>22.25</v>
      </c>
      <c r="D30" s="28" t="n">
        <f aca="false">Inputs!$B$14</f>
        <v>73</v>
      </c>
      <c r="H30" s="23"/>
      <c r="I30" s="24"/>
      <c r="J30" s="24"/>
      <c r="K30" s="23"/>
    </row>
    <row r="31" customFormat="false" ht="15" hidden="false" customHeight="false" outlineLevel="0" collapsed="false">
      <c r="A31" s="26" t="n">
        <v>46193</v>
      </c>
      <c r="B31" s="27" t="n">
        <v>34</v>
      </c>
      <c r="C31" s="19" t="n">
        <f aca="false">IFERROR(AVERAGE(B27:B31),"")</f>
        <v>24.6</v>
      </c>
      <c r="D31" s="28" t="n">
        <f aca="false">Inputs!$B$14</f>
        <v>73</v>
      </c>
      <c r="H31" s="23"/>
      <c r="I31" s="24"/>
      <c r="J31" s="24"/>
      <c r="K31" s="23"/>
    </row>
    <row r="32" customFormat="false" ht="15" hidden="false" customHeight="false" outlineLevel="0" collapsed="false">
      <c r="A32" s="26" t="n">
        <v>46208</v>
      </c>
      <c r="B32" s="27" t="n">
        <v>18</v>
      </c>
      <c r="C32" s="19" t="n">
        <f aca="false">IFERROR(AVERAGE(B27:B32),"")</f>
        <v>23.5</v>
      </c>
      <c r="D32" s="28" t="n">
        <f aca="false">Inputs!$B$14</f>
        <v>73</v>
      </c>
      <c r="H32" s="23"/>
      <c r="I32" s="24"/>
      <c r="J32" s="24"/>
      <c r="K32" s="23"/>
    </row>
    <row r="33" customFormat="false" ht="15" hidden="false" customHeight="false" outlineLevel="0" collapsed="false">
      <c r="A33" s="26" t="n">
        <v>46226</v>
      </c>
      <c r="B33" s="27" t="n">
        <v>10</v>
      </c>
      <c r="C33" s="19" t="n">
        <f aca="false">IFERROR(AVERAGE(B27:B33),"")</f>
        <v>21.5714285714286</v>
      </c>
      <c r="D33" s="28" t="n">
        <f aca="false">Inputs!$B$14</f>
        <v>73</v>
      </c>
    </row>
    <row r="34" customFormat="false" ht="15" hidden="false" customHeight="false" outlineLevel="0" collapsed="false">
      <c r="A34" s="26" t="n">
        <v>46236</v>
      </c>
      <c r="B34" s="27" t="n">
        <v>2</v>
      </c>
      <c r="C34" s="19" t="n">
        <f aca="false">IFERROR(AVERAGE(B28:B34),"")</f>
        <v>11.7142857142857</v>
      </c>
      <c r="D34" s="28" t="n">
        <f aca="false">Inputs!$B$14</f>
        <v>73</v>
      </c>
    </row>
    <row r="35" customFormat="false" ht="15" hidden="false" customHeight="false" outlineLevel="0" collapsed="false">
      <c r="A35" s="2" t="s">
        <v>166</v>
      </c>
      <c r="H35" s="3" t="s">
        <v>167</v>
      </c>
    </row>
    <row r="36" customFormat="false" ht="15" hidden="false" customHeight="false" outlineLevel="0" collapsed="false">
      <c r="H36" s="5" t="s">
        <v>168</v>
      </c>
      <c r="I36" s="29" t="str">
        <f aca="false">IFERROR(SLOPE(J8:J33,I8:I33),"paste data")</f>
        <v>paste data</v>
      </c>
      <c r="L36" s="2" t="s">
        <v>169</v>
      </c>
    </row>
    <row r="37" customFormat="false" ht="15" hidden="false" customHeight="false" outlineLevel="0" collapsed="false">
      <c r="H37" s="5" t="s">
        <v>170</v>
      </c>
      <c r="I37" s="29" t="str">
        <f aca="false">IFERROR(CORREL(J8:J33,I8:I33)^2,"paste data")</f>
        <v>paste data</v>
      </c>
      <c r="L37" s="2" t="s">
        <v>171</v>
      </c>
    </row>
    <row r="38" customFormat="false" ht="15" hidden="false" customHeight="false" outlineLevel="0" collapsed="false">
      <c r="H38" s="5" t="s">
        <v>172</v>
      </c>
      <c r="I38" s="29" t="str">
        <f aca="false">IFERROR(SLOPE(K8:K33,I8:I33),"paste data")</f>
        <v>paste data</v>
      </c>
      <c r="L38" s="2" t="s">
        <v>173</v>
      </c>
    </row>
    <row r="39" customFormat="false" ht="15" hidden="false" customHeight="false" outlineLevel="0" collapsed="false">
      <c r="H39" s="5" t="s">
        <v>174</v>
      </c>
      <c r="I39" s="29" t="str">
        <f aca="false">IFERROR(CORREL(K8:K33,I8:I33)^2,"paste data")</f>
        <v>paste data</v>
      </c>
      <c r="L39" s="2" t="s">
        <v>175</v>
      </c>
    </row>
    <row r="40" customFormat="false" ht="15" hidden="false" customHeight="false" outlineLevel="0" collapsed="false">
      <c r="H40" s="5" t="s">
        <v>176</v>
      </c>
      <c r="I40" s="29" t="str">
        <f aca="false">IFERROR(I36*0.2*100,"paste data")</f>
        <v>paste data</v>
      </c>
      <c r="L40" s="2" t="s">
        <v>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178</v>
      </c>
    </row>
    <row r="4" customFormat="false" ht="15" hidden="false" customHeight="false" outlineLevel="0" collapsed="false">
      <c r="A4" s="5" t="s">
        <v>179</v>
      </c>
      <c r="B4" s="30" t="n">
        <v>62</v>
      </c>
      <c r="C4" s="2" t="s">
        <v>180</v>
      </c>
    </row>
    <row r="5" customFormat="false" ht="15" hidden="false" customHeight="false" outlineLevel="0" collapsed="false">
      <c r="A5" s="5" t="s">
        <v>181</v>
      </c>
      <c r="B5" s="30" t="n">
        <v>84</v>
      </c>
      <c r="C5" s="2" t="s">
        <v>182</v>
      </c>
    </row>
    <row r="6" customFormat="false" ht="15" hidden="false" customHeight="false" outlineLevel="0" collapsed="false">
      <c r="A6" s="5" t="s">
        <v>183</v>
      </c>
      <c r="B6" s="30" t="n">
        <v>120</v>
      </c>
      <c r="C6" s="2" t="s">
        <v>184</v>
      </c>
    </row>
    <row r="7" customFormat="false" ht="15" hidden="false" customHeight="false" outlineLevel="0" collapsed="false">
      <c r="A7" s="5" t="s">
        <v>185</v>
      </c>
      <c r="B7" s="30" t="n">
        <v>95</v>
      </c>
      <c r="C7" s="2" t="s">
        <v>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4" min="2" style="0" width="11"/>
    <col collapsed="false" customWidth="true" hidden="false" outlineLevel="0" max="5" min="5" style="0" width="3"/>
    <col collapsed="false" customWidth="true" hidden="false" outlineLevel="0" max="6" min="6" style="0" width="22"/>
    <col collapsed="false" customWidth="true" hidden="false" outlineLevel="0" max="8" min="7" style="0" width="11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44"/>
  </cols>
  <sheetData>
    <row r="1" customFormat="false" ht="17.35" hidden="false" customHeight="false" outlineLevel="0" collapsed="false">
      <c r="A1" s="1" t="s">
        <v>187</v>
      </c>
    </row>
    <row r="2" customFormat="false" ht="15" hidden="false" customHeight="false" outlineLevel="0" collapsed="false">
      <c r="A2" s="2" t="s">
        <v>188</v>
      </c>
    </row>
    <row r="4" customFormat="false" ht="15" hidden="false" customHeight="false" outlineLevel="0" collapsed="false">
      <c r="A4" s="3" t="s">
        <v>189</v>
      </c>
      <c r="F4" s="3" t="s">
        <v>190</v>
      </c>
    </row>
    <row r="5" customFormat="false" ht="15" hidden="false" customHeight="false" outlineLevel="0" collapsed="false">
      <c r="A5" s="2" t="s">
        <v>191</v>
      </c>
      <c r="F5" s="2" t="s">
        <v>192</v>
      </c>
    </row>
    <row r="6" customFormat="false" ht="15" hidden="false" customHeight="false" outlineLevel="0" collapsed="false">
      <c r="A6" s="6" t="s">
        <v>143</v>
      </c>
      <c r="B6" s="6" t="s">
        <v>193</v>
      </c>
      <c r="C6" s="6" t="s">
        <v>194</v>
      </c>
      <c r="D6" s="6" t="s">
        <v>195</v>
      </c>
      <c r="F6" s="6" t="s">
        <v>196</v>
      </c>
      <c r="G6" s="6" t="s">
        <v>143</v>
      </c>
      <c r="H6" s="6" t="s">
        <v>197</v>
      </c>
      <c r="I6" s="6" t="s">
        <v>198</v>
      </c>
      <c r="J6" s="6" t="s">
        <v>199</v>
      </c>
    </row>
    <row r="7" customFormat="false" ht="15" hidden="false" customHeight="false" outlineLevel="0" collapsed="false">
      <c r="A7" s="17" t="n">
        <v>46022</v>
      </c>
      <c r="B7" s="31" t="n">
        <v>155</v>
      </c>
      <c r="C7" s="32" t="n">
        <v>160</v>
      </c>
      <c r="D7" s="33" t="n">
        <f aca="false">Inputs!$B$29</f>
        <v>165</v>
      </c>
      <c r="F7" s="5" t="s">
        <v>200</v>
      </c>
      <c r="G7" s="26" t="n">
        <v>46010</v>
      </c>
      <c r="H7" s="22"/>
      <c r="I7" s="22"/>
      <c r="J7" s="34" t="str">
        <f aca="false">IF(COUNT(H7:I7)=2,I7-H7,"")</f>
        <v/>
      </c>
    </row>
    <row r="8" customFormat="false" ht="15" hidden="false" customHeight="false" outlineLevel="0" collapsed="false">
      <c r="A8" s="17" t="n">
        <v>46053</v>
      </c>
      <c r="B8" s="31" t="n">
        <v>153</v>
      </c>
      <c r="C8" s="32" t="n">
        <v>160</v>
      </c>
      <c r="D8" s="33" t="n">
        <f aca="false">Inputs!$B$29</f>
        <v>165</v>
      </c>
      <c r="F8" s="5" t="s">
        <v>201</v>
      </c>
      <c r="G8" s="26" t="n">
        <v>46100</v>
      </c>
      <c r="H8" s="22"/>
      <c r="I8" s="22"/>
      <c r="J8" s="34" t="str">
        <f aca="false">IF(COUNT(H8:I8)=2,I8-H8,"")</f>
        <v/>
      </c>
    </row>
    <row r="9" customFormat="false" ht="15" hidden="false" customHeight="false" outlineLevel="0" collapsed="false">
      <c r="A9" s="17" t="n">
        <v>46081</v>
      </c>
      <c r="B9" s="31" t="n">
        <v>156</v>
      </c>
      <c r="C9" s="32" t="n">
        <v>160</v>
      </c>
      <c r="D9" s="33" t="n">
        <f aca="false">Inputs!$B$29</f>
        <v>165</v>
      </c>
      <c r="F9" s="5" t="s">
        <v>202</v>
      </c>
      <c r="G9" s="26" t="n">
        <v>46189</v>
      </c>
      <c r="H9" s="22"/>
      <c r="I9" s="22"/>
      <c r="J9" s="34" t="str">
        <f aca="false">IF(COUNT(H9:I9)=2,I9-H9,"")</f>
        <v/>
      </c>
    </row>
    <row r="10" customFormat="false" ht="15" hidden="false" customHeight="false" outlineLevel="0" collapsed="false">
      <c r="A10" s="17" t="n">
        <v>46112</v>
      </c>
      <c r="B10" s="31" t="n">
        <v>157</v>
      </c>
      <c r="C10" s="32" t="n">
        <v>160</v>
      </c>
      <c r="D10" s="33" t="n">
        <f aca="false">Inputs!$B$29</f>
        <v>165</v>
      </c>
      <c r="F10" s="5" t="s">
        <v>203</v>
      </c>
      <c r="G10" s="26" t="n">
        <v>46234</v>
      </c>
      <c r="H10" s="22"/>
      <c r="I10" s="22"/>
      <c r="J10" s="34" t="str">
        <f aca="false">IF(COUNT(H10:I10)=2,I10-H10,"")</f>
        <v/>
      </c>
    </row>
    <row r="11" customFormat="false" ht="15" hidden="false" customHeight="false" outlineLevel="0" collapsed="false">
      <c r="A11" s="17" t="n">
        <v>46142</v>
      </c>
      <c r="B11" s="31" t="n">
        <v>158</v>
      </c>
      <c r="C11" s="32" t="n">
        <v>160</v>
      </c>
      <c r="D11" s="33" t="n">
        <f aca="false">Inputs!$B$29</f>
        <v>165</v>
      </c>
      <c r="F11" s="5" t="s">
        <v>204</v>
      </c>
      <c r="G11" s="26" t="n">
        <v>46234</v>
      </c>
      <c r="H11" s="22"/>
      <c r="I11" s="22"/>
      <c r="J11" s="34" t="str">
        <f aca="false">IF(COUNT(H11:I11)=2,I11-H11,"")</f>
        <v/>
      </c>
    </row>
    <row r="12" customFormat="false" ht="15" hidden="false" customHeight="false" outlineLevel="0" collapsed="false">
      <c r="A12" s="17" t="n">
        <v>46173</v>
      </c>
      <c r="B12" s="35" t="n">
        <v>159.46</v>
      </c>
      <c r="C12" s="32" t="n">
        <v>160</v>
      </c>
      <c r="D12" s="33" t="n">
        <f aca="false">Inputs!$B$29</f>
        <v>165</v>
      </c>
      <c r="F12" s="5" t="s">
        <v>205</v>
      </c>
      <c r="G12" s="26" t="n">
        <v>46234</v>
      </c>
      <c r="H12" s="22"/>
      <c r="I12" s="22"/>
      <c r="J12" s="34" t="str">
        <f aca="false">IF(COUNT(H12:I12)=2,I12-H12,"")</f>
        <v/>
      </c>
    </row>
    <row r="13" customFormat="false" ht="15" hidden="false" customHeight="false" outlineLevel="0" collapsed="false">
      <c r="A13" s="17" t="n">
        <v>46203</v>
      </c>
      <c r="B13" s="31" t="n">
        <v>160.5</v>
      </c>
      <c r="C13" s="32" t="n">
        <v>160</v>
      </c>
      <c r="D13" s="33" t="n">
        <f aca="false">Inputs!$B$29</f>
        <v>165</v>
      </c>
      <c r="F13" s="5" t="s">
        <v>206</v>
      </c>
      <c r="G13" s="26" t="n">
        <v>46283</v>
      </c>
      <c r="H13" s="22"/>
      <c r="I13" s="22"/>
      <c r="J13" s="34" t="str">
        <f aca="false">IF(COUNT(H13:I13)=2,I13-H13,"")</f>
        <v/>
      </c>
    </row>
    <row r="14" customFormat="false" ht="15" hidden="false" customHeight="false" outlineLevel="0" collapsed="false">
      <c r="A14" s="17" t="n">
        <v>46234</v>
      </c>
      <c r="B14" s="35" t="n">
        <v>158.5</v>
      </c>
      <c r="C14" s="32" t="n">
        <v>160</v>
      </c>
      <c r="D14" s="33" t="n">
        <f aca="false">Inputs!$B$29</f>
        <v>165</v>
      </c>
      <c r="F14" s="5" t="s">
        <v>206</v>
      </c>
      <c r="G14" s="26" t="n">
        <v>46324</v>
      </c>
      <c r="H14" s="22"/>
      <c r="I14" s="22"/>
      <c r="J14" s="34" t="str">
        <f aca="false">IF(COUNT(H14:I14)=2,I14-H14,"")</f>
        <v/>
      </c>
    </row>
    <row r="15" customFormat="false" ht="15" hidden="false" customHeight="false" outlineLevel="0" collapsed="false">
      <c r="A15" s="17" t="n">
        <v>46241</v>
      </c>
      <c r="B15" s="35" t="n">
        <v>157.65</v>
      </c>
      <c r="C15" s="32" t="n">
        <v>160</v>
      </c>
      <c r="D15" s="33" t="n">
        <f aca="false">Inputs!$B$29</f>
        <v>165</v>
      </c>
      <c r="F15" s="4" t="s">
        <v>207</v>
      </c>
      <c r="J15" s="34" t="str">
        <f aca="false">IFERROR(AVERAGE(J7:J12),"paste data")</f>
        <v>paste data</v>
      </c>
      <c r="K15" s="2" t="s">
        <v>208</v>
      </c>
    </row>
    <row r="17" customFormat="false" ht="15" hidden="false" customHeight="false" outlineLevel="0" collapsed="false">
      <c r="F17" s="4" t="s">
        <v>209</v>
      </c>
      <c r="G17" s="36" t="n">
        <f aca="false">Inputs!$B$26-Inputs!$B$28</f>
        <v>22.5</v>
      </c>
      <c r="K17" s="2" t="s">
        <v>210</v>
      </c>
    </row>
    <row r="18" customFormat="false" ht="15" hidden="false" customHeight="false" outlineLevel="0" collapsed="false">
      <c r="F18" s="4" t="s">
        <v>211</v>
      </c>
      <c r="G18" s="19" t="str">
        <f aca="false">IFERROR(ABS(G17/J15),"paste data")</f>
        <v>paste data</v>
      </c>
      <c r="K18" s="2" t="s">
        <v>212</v>
      </c>
    </row>
    <row r="20" customFormat="false" ht="15" hidden="false" customHeight="false" outlineLevel="0" collapsed="false">
      <c r="A20" s="3" t="s">
        <v>213</v>
      </c>
    </row>
    <row r="21" customFormat="false" ht="15" hidden="false" customHeight="false" outlineLevel="0" collapsed="false">
      <c r="A21" s="2" t="s">
        <v>214</v>
      </c>
    </row>
    <row r="22" customFormat="false" ht="22.35" hidden="false" customHeight="false" outlineLevel="0" collapsed="false">
      <c r="A22" s="6" t="s">
        <v>143</v>
      </c>
      <c r="B22" s="6" t="s">
        <v>215</v>
      </c>
      <c r="C22" s="6" t="s">
        <v>216</v>
      </c>
      <c r="D22" s="6" t="s">
        <v>217</v>
      </c>
    </row>
    <row r="23" customFormat="false" ht="15" hidden="false" customHeight="false" outlineLevel="0" collapsed="false">
      <c r="A23" s="17" t="n">
        <v>46053</v>
      </c>
      <c r="B23" s="37" t="n">
        <v>0.026</v>
      </c>
      <c r="C23" s="38"/>
      <c r="D23" s="39" t="n">
        <f aca="false">Inputs!$B$18</f>
        <v>0.022</v>
      </c>
    </row>
    <row r="24" customFormat="false" ht="15" hidden="false" customHeight="false" outlineLevel="0" collapsed="false">
      <c r="A24" s="17" t="n">
        <v>46081</v>
      </c>
      <c r="B24" s="37" t="n">
        <v>0.025</v>
      </c>
      <c r="C24" s="37" t="n">
        <v>0.023</v>
      </c>
      <c r="D24" s="39" t="n">
        <f aca="false">Inputs!$B$18</f>
        <v>0.022</v>
      </c>
    </row>
    <row r="25" customFormat="false" ht="15" hidden="false" customHeight="false" outlineLevel="0" collapsed="false">
      <c r="A25" s="17" t="n">
        <v>46112</v>
      </c>
      <c r="B25" s="37" t="n">
        <v>0.025</v>
      </c>
      <c r="C25" s="38"/>
      <c r="D25" s="39" t="n">
        <f aca="false">Inputs!$B$18</f>
        <v>0.022</v>
      </c>
    </row>
    <row r="26" customFormat="false" ht="15" hidden="false" customHeight="false" outlineLevel="0" collapsed="false">
      <c r="A26" s="17" t="n">
        <v>46142</v>
      </c>
      <c r="B26" s="37" t="n">
        <v>0.019</v>
      </c>
      <c r="C26" s="38"/>
      <c r="D26" s="39" t="n">
        <f aca="false">Inputs!$B$18</f>
        <v>0.022</v>
      </c>
    </row>
    <row r="27" customFormat="false" ht="15" hidden="false" customHeight="false" outlineLevel="0" collapsed="false">
      <c r="A27" s="17" t="n">
        <v>46173</v>
      </c>
      <c r="B27" s="37" t="n">
        <v>0.018</v>
      </c>
      <c r="C27" s="37" t="n">
        <v>0.016</v>
      </c>
      <c r="D27" s="39" t="n">
        <f aca="false">Inputs!$B$18</f>
        <v>0.022</v>
      </c>
    </row>
    <row r="28" customFormat="false" ht="15" hidden="false" customHeight="false" outlineLevel="0" collapsed="false">
      <c r="A28" s="17" t="n">
        <v>46203</v>
      </c>
      <c r="B28" s="38"/>
      <c r="C28" s="37" t="n">
        <v>0.019</v>
      </c>
      <c r="D28" s="39" t="n">
        <f aca="false">Inputs!$B$18</f>
        <v>0.022</v>
      </c>
    </row>
    <row r="29" customFormat="false" ht="15" hidden="false" customHeight="false" outlineLevel="0" collapsed="false">
      <c r="A29" s="17" t="n">
        <v>46234</v>
      </c>
      <c r="B29" s="38"/>
      <c r="C29" s="37" t="n">
        <v>0.02</v>
      </c>
      <c r="D29" s="39" t="n">
        <f aca="false">Inputs!$B$18</f>
        <v>0.022</v>
      </c>
    </row>
    <row r="30" customFormat="false" ht="15" hidden="false" customHeight="false" outlineLevel="0" collapsed="false">
      <c r="A30" s="2" t="s"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5" min="4" style="0" width="13"/>
    <col collapsed="false" customWidth="true" hidden="false" outlineLevel="0" max="6" min="6" style="0" width="3"/>
    <col collapsed="false" customWidth="true" hidden="false" outlineLevel="0" max="7" min="7" style="0" width="14"/>
    <col collapsed="false" customWidth="true" hidden="false" outlineLevel="0" max="8" min="8" style="0" width="30"/>
    <col collapsed="false" customWidth="true" hidden="false" outlineLevel="0" max="9" min="9" style="0" width="46"/>
  </cols>
  <sheetData>
    <row r="1" customFormat="false" ht="17.35" hidden="false" customHeight="false" outlineLevel="0" collapsed="false">
      <c r="A1" s="1" t="s">
        <v>219</v>
      </c>
    </row>
    <row r="2" customFormat="false" ht="15" hidden="false" customHeight="false" outlineLevel="0" collapsed="false">
      <c r="A2" s="2" t="s">
        <v>220</v>
      </c>
    </row>
    <row r="4" customFormat="false" ht="15" hidden="false" customHeight="false" outlineLevel="0" collapsed="false">
      <c r="A4" s="3" t="s">
        <v>221</v>
      </c>
      <c r="G4" s="3" t="s">
        <v>222</v>
      </c>
    </row>
    <row r="5" customFormat="false" ht="15" hidden="false" customHeight="false" outlineLevel="0" collapsed="false">
      <c r="A5" s="2" t="s">
        <v>223</v>
      </c>
      <c r="G5" s="40" t="n">
        <f aca="false">IFERROR(D30/D7-1,"paste data")</f>
        <v>-1</v>
      </c>
      <c r="H5" s="5" t="s">
        <v>224</v>
      </c>
    </row>
    <row r="6" customFormat="false" ht="15" hidden="false" customHeight="false" outlineLevel="0" collapsed="false">
      <c r="A6" s="6" t="s">
        <v>143</v>
      </c>
      <c r="B6" s="6" t="s">
        <v>225</v>
      </c>
      <c r="C6" s="6" t="s">
        <v>226</v>
      </c>
      <c r="D6" s="6" t="s">
        <v>227</v>
      </c>
      <c r="E6" s="6" t="s">
        <v>228</v>
      </c>
      <c r="G6" s="40" t="n">
        <f aca="false">IFERROR(E30/E7-1,"paste data")</f>
        <v>-1</v>
      </c>
      <c r="H6" s="5" t="s">
        <v>229</v>
      </c>
    </row>
    <row r="7" customFormat="false" ht="15" hidden="false" customHeight="false" outlineLevel="0" collapsed="false">
      <c r="A7" s="17" t="n">
        <v>45505</v>
      </c>
      <c r="B7" s="41" t="n">
        <v>60</v>
      </c>
      <c r="C7" s="41" t="n">
        <v>6.5</v>
      </c>
      <c r="D7" s="19" t="n">
        <f aca="false">IFERROR(B7/$B$7*100,"")</f>
        <v>100</v>
      </c>
      <c r="E7" s="19" t="n">
        <f aca="false">IFERROR(C7/$C$7*100,"")</f>
        <v>100</v>
      </c>
      <c r="G7" s="40" t="n">
        <f aca="false">IFERROR(G5-G6,"paste data")</f>
        <v>0</v>
      </c>
      <c r="H7" s="5" t="s">
        <v>230</v>
      </c>
    </row>
    <row r="8" customFormat="false" ht="15" hidden="false" customHeight="false" outlineLevel="0" collapsed="false">
      <c r="A8" s="17" t="n">
        <v>45536</v>
      </c>
      <c r="B8" s="42"/>
      <c r="C8" s="42"/>
      <c r="D8" s="19" t="n">
        <f aca="false">IFERROR(B8/$B$7*100,"")</f>
        <v>0</v>
      </c>
      <c r="E8" s="19" t="n">
        <f aca="false">IFERROR(C8/$C$7*100,"")</f>
        <v>0</v>
      </c>
      <c r="G8" s="43" t="str">
        <f aca="false">IF(G6&lt;0,"EARNINGS STILL FALLING - value trap live","Earnings turning - thesis intact")</f>
        <v>EARNINGS STILL FALLING - value trap live</v>
      </c>
      <c r="H8" s="5" t="s">
        <v>231</v>
      </c>
    </row>
    <row r="9" customFormat="false" ht="15" hidden="false" customHeight="false" outlineLevel="0" collapsed="false">
      <c r="A9" s="17" t="n">
        <v>45566</v>
      </c>
      <c r="B9" s="42"/>
      <c r="C9" s="42"/>
      <c r="D9" s="19" t="n">
        <f aca="false">IFERROR(B9/$B$7*100,"")</f>
        <v>0</v>
      </c>
      <c r="E9" s="19" t="n">
        <f aca="false">IFERROR(C9/$C$7*100,"")</f>
        <v>0</v>
      </c>
    </row>
    <row r="10" customFormat="false" ht="15" hidden="false" customHeight="false" outlineLevel="0" collapsed="false">
      <c r="A10" s="17" t="n">
        <v>45597</v>
      </c>
      <c r="B10" s="42"/>
      <c r="C10" s="42"/>
      <c r="D10" s="19" t="n">
        <f aca="false">IFERROR(B10/$B$7*100,"")</f>
        <v>0</v>
      </c>
      <c r="E10" s="19" t="n">
        <f aca="false">IFERROR(C10/$C$7*100,"")</f>
        <v>0</v>
      </c>
      <c r="G10" s="3" t="s">
        <v>232</v>
      </c>
    </row>
    <row r="11" customFormat="false" ht="15" hidden="false" customHeight="false" outlineLevel="0" collapsed="false">
      <c r="A11" s="17" t="n">
        <v>45627</v>
      </c>
      <c r="B11" s="42"/>
      <c r="C11" s="42"/>
      <c r="D11" s="19" t="n">
        <f aca="false">IFERROR(B11/$B$7*100,"")</f>
        <v>0</v>
      </c>
      <c r="E11" s="19" t="n">
        <f aca="false">IFERROR(C11/$C$7*100,"")</f>
        <v>0</v>
      </c>
      <c r="G11" s="6" t="s">
        <v>143</v>
      </c>
      <c r="H11" s="6" t="s">
        <v>196</v>
      </c>
      <c r="I11" s="6" t="s">
        <v>233</v>
      </c>
    </row>
    <row r="12" customFormat="false" ht="24" hidden="false" customHeight="true" outlineLevel="0" collapsed="false">
      <c r="A12" s="17" t="n">
        <v>45658</v>
      </c>
      <c r="B12" s="42"/>
      <c r="C12" s="42"/>
      <c r="D12" s="19" t="n">
        <f aca="false">IFERROR(B12/$B$7*100,"")</f>
        <v>0</v>
      </c>
      <c r="E12" s="19" t="n">
        <f aca="false">IFERROR(C12/$C$7*100,"")</f>
        <v>0</v>
      </c>
      <c r="G12" s="44" t="n">
        <v>46315</v>
      </c>
      <c r="H12" s="5" t="s">
        <v>234</v>
      </c>
      <c r="I12" s="45" t="s">
        <v>235</v>
      </c>
    </row>
    <row r="13" customFormat="false" ht="24" hidden="false" customHeight="true" outlineLevel="0" collapsed="false">
      <c r="A13" s="17" t="n">
        <v>45689</v>
      </c>
      <c r="B13" s="42"/>
      <c r="C13" s="42"/>
      <c r="D13" s="19" t="n">
        <f aca="false">IFERROR(B13/$B$7*100,"")</f>
        <v>0</v>
      </c>
      <c r="E13" s="19" t="n">
        <f aca="false">IFERROR(C13/$C$7*100,"")</f>
        <v>0</v>
      </c>
      <c r="G13" s="44" t="n">
        <v>46326</v>
      </c>
      <c r="H13" s="5" t="s">
        <v>236</v>
      </c>
      <c r="I13" s="45" t="s">
        <v>237</v>
      </c>
    </row>
    <row r="14" customFormat="false" ht="24" hidden="false" customHeight="true" outlineLevel="0" collapsed="false">
      <c r="A14" s="17" t="n">
        <v>45717</v>
      </c>
      <c r="B14" s="42"/>
      <c r="C14" s="42"/>
      <c r="D14" s="19" t="n">
        <f aca="false">IFERROR(B14/$B$7*100,"")</f>
        <v>0</v>
      </c>
      <c r="E14" s="19" t="n">
        <f aca="false">IFERROR(C14/$C$7*100,"")</f>
        <v>0</v>
      </c>
      <c r="G14" s="44" t="n">
        <v>46368</v>
      </c>
      <c r="H14" s="5" t="s">
        <v>238</v>
      </c>
      <c r="I14" s="45" t="s">
        <v>239</v>
      </c>
    </row>
    <row r="15" customFormat="false" ht="24" hidden="false" customHeight="true" outlineLevel="0" collapsed="false">
      <c r="A15" s="17" t="n">
        <v>45748</v>
      </c>
      <c r="B15" s="42"/>
      <c r="C15" s="42"/>
      <c r="D15" s="19" t="n">
        <f aca="false">IFERROR(B15/$B$7*100,"")</f>
        <v>0</v>
      </c>
      <c r="E15" s="19" t="n">
        <f aca="false">IFERROR(C15/$C$7*100,"")</f>
        <v>0</v>
      </c>
      <c r="G15" s="44" t="n">
        <v>46451</v>
      </c>
      <c r="H15" s="5" t="s">
        <v>240</v>
      </c>
      <c r="I15" s="45" t="s">
        <v>241</v>
      </c>
    </row>
    <row r="16" customFormat="false" ht="15" hidden="false" customHeight="false" outlineLevel="0" collapsed="false">
      <c r="A16" s="17" t="n">
        <v>45778</v>
      </c>
      <c r="B16" s="42"/>
      <c r="C16" s="42"/>
      <c r="D16" s="19" t="n">
        <f aca="false">IFERROR(B16/$B$7*100,"")</f>
        <v>0</v>
      </c>
      <c r="E16" s="19" t="n">
        <f aca="false">IFERROR(C16/$C$7*100,"")</f>
        <v>0</v>
      </c>
      <c r="G16" s="2" t="s">
        <v>242</v>
      </c>
    </row>
    <row r="17" customFormat="false" ht="15" hidden="false" customHeight="false" outlineLevel="0" collapsed="false">
      <c r="A17" s="17" t="n">
        <v>45809</v>
      </c>
      <c r="B17" s="42"/>
      <c r="C17" s="42"/>
      <c r="D17" s="19" t="n">
        <f aca="false">IFERROR(B17/$B$7*100,"")</f>
        <v>0</v>
      </c>
      <c r="E17" s="19" t="n">
        <f aca="false">IFERROR(C17/$C$7*100,"")</f>
        <v>0</v>
      </c>
    </row>
    <row r="18" customFormat="false" ht="15" hidden="false" customHeight="false" outlineLevel="0" collapsed="false">
      <c r="A18" s="17" t="n">
        <v>45839</v>
      </c>
      <c r="B18" s="42"/>
      <c r="C18" s="42"/>
      <c r="D18" s="19" t="n">
        <f aca="false">IFERROR(B18/$B$7*100,"")</f>
        <v>0</v>
      </c>
      <c r="E18" s="19" t="n">
        <f aca="false">IFERROR(C18/$C$7*100,"")</f>
        <v>0</v>
      </c>
    </row>
    <row r="19" customFormat="false" ht="15" hidden="false" customHeight="false" outlineLevel="0" collapsed="false">
      <c r="A19" s="17" t="n">
        <v>45870</v>
      </c>
      <c r="B19" s="42"/>
      <c r="C19" s="42"/>
      <c r="D19" s="19" t="n">
        <f aca="false">IFERROR(B19/$B$7*100,"")</f>
        <v>0</v>
      </c>
      <c r="E19" s="19" t="n">
        <f aca="false">IFERROR(C19/$C$7*100,"")</f>
        <v>0</v>
      </c>
    </row>
    <row r="20" customFormat="false" ht="15" hidden="false" customHeight="false" outlineLevel="0" collapsed="false">
      <c r="A20" s="17" t="n">
        <v>45901</v>
      </c>
      <c r="B20" s="42"/>
      <c r="C20" s="42"/>
      <c r="D20" s="19" t="n">
        <f aca="false">IFERROR(B20/$B$7*100,"")</f>
        <v>0</v>
      </c>
      <c r="E20" s="19" t="n">
        <f aca="false">IFERROR(C20/$C$7*100,"")</f>
        <v>0</v>
      </c>
    </row>
    <row r="21" customFormat="false" ht="15" hidden="false" customHeight="false" outlineLevel="0" collapsed="false">
      <c r="A21" s="17" t="n">
        <v>45931</v>
      </c>
      <c r="B21" s="42"/>
      <c r="C21" s="42"/>
      <c r="D21" s="19" t="n">
        <f aca="false">IFERROR(B21/$B$7*100,"")</f>
        <v>0</v>
      </c>
      <c r="E21" s="19" t="n">
        <f aca="false">IFERROR(C21/$C$7*100,"")</f>
        <v>0</v>
      </c>
    </row>
    <row r="22" customFormat="false" ht="15" hidden="false" customHeight="false" outlineLevel="0" collapsed="false">
      <c r="A22" s="17" t="n">
        <v>45962</v>
      </c>
      <c r="B22" s="42"/>
      <c r="C22" s="42"/>
      <c r="D22" s="19" t="n">
        <f aca="false">IFERROR(B22/$B$7*100,"")</f>
        <v>0</v>
      </c>
      <c r="E22" s="19" t="n">
        <f aca="false">IFERROR(C22/$C$7*100,"")</f>
        <v>0</v>
      </c>
    </row>
    <row r="23" customFormat="false" ht="15" hidden="false" customHeight="false" outlineLevel="0" collapsed="false">
      <c r="A23" s="17" t="n">
        <v>45992</v>
      </c>
      <c r="B23" s="42"/>
      <c r="C23" s="42"/>
      <c r="D23" s="19" t="n">
        <f aca="false">IFERROR(B23/$B$7*100,"")</f>
        <v>0</v>
      </c>
      <c r="E23" s="19" t="n">
        <f aca="false">IFERROR(C23/$C$7*100,"")</f>
        <v>0</v>
      </c>
    </row>
    <row r="24" customFormat="false" ht="15" hidden="false" customHeight="false" outlineLevel="0" collapsed="false">
      <c r="A24" s="17" t="n">
        <v>46023</v>
      </c>
      <c r="B24" s="42"/>
      <c r="C24" s="42"/>
      <c r="D24" s="19" t="n">
        <f aca="false">IFERROR(B24/$B$7*100,"")</f>
        <v>0</v>
      </c>
      <c r="E24" s="19" t="n">
        <f aca="false">IFERROR(C24/$C$7*100,"")</f>
        <v>0</v>
      </c>
    </row>
    <row r="25" customFormat="false" ht="15" hidden="false" customHeight="false" outlineLevel="0" collapsed="false">
      <c r="A25" s="17" t="n">
        <v>46054</v>
      </c>
      <c r="B25" s="42"/>
      <c r="C25" s="42"/>
      <c r="D25" s="19" t="n">
        <f aca="false">IFERROR(B25/$B$7*100,"")</f>
        <v>0</v>
      </c>
      <c r="E25" s="19" t="n">
        <f aca="false">IFERROR(C25/$C$7*100,"")</f>
        <v>0</v>
      </c>
    </row>
    <row r="26" customFormat="false" ht="15" hidden="false" customHeight="false" outlineLevel="0" collapsed="false">
      <c r="A26" s="17" t="n">
        <v>46082</v>
      </c>
      <c r="B26" s="42"/>
      <c r="C26" s="42"/>
      <c r="D26" s="19" t="n">
        <f aca="false">IFERROR(B26/$B$7*100,"")</f>
        <v>0</v>
      </c>
      <c r="E26" s="19" t="n">
        <f aca="false">IFERROR(C26/$C$7*100,"")</f>
        <v>0</v>
      </c>
    </row>
    <row r="27" customFormat="false" ht="15" hidden="false" customHeight="false" outlineLevel="0" collapsed="false">
      <c r="A27" s="17" t="n">
        <v>46113</v>
      </c>
      <c r="B27" s="42"/>
      <c r="C27" s="42"/>
      <c r="D27" s="19" t="n">
        <f aca="false">IFERROR(B27/$B$7*100,"")</f>
        <v>0</v>
      </c>
      <c r="E27" s="19" t="n">
        <f aca="false">IFERROR(C27/$C$7*100,"")</f>
        <v>0</v>
      </c>
    </row>
    <row r="28" customFormat="false" ht="15" hidden="false" customHeight="false" outlineLevel="0" collapsed="false">
      <c r="A28" s="17" t="n">
        <v>46143</v>
      </c>
      <c r="B28" s="42"/>
      <c r="C28" s="42"/>
      <c r="D28" s="19" t="n">
        <f aca="false">IFERROR(B28/$B$7*100,"")</f>
        <v>0</v>
      </c>
      <c r="E28" s="19" t="n">
        <f aca="false">IFERROR(C28/$C$7*100,"")</f>
        <v>0</v>
      </c>
    </row>
    <row r="29" customFormat="false" ht="15" hidden="false" customHeight="false" outlineLevel="0" collapsed="false">
      <c r="A29" s="17" t="n">
        <v>46174</v>
      </c>
      <c r="B29" s="42"/>
      <c r="C29" s="42"/>
      <c r="D29" s="19" t="n">
        <f aca="false">IFERROR(B29/$B$7*100,"")</f>
        <v>0</v>
      </c>
      <c r="E29" s="19" t="n">
        <f aca="false">IFERROR(C29/$C$7*100,"")</f>
        <v>0</v>
      </c>
    </row>
    <row r="30" customFormat="false" ht="15" hidden="false" customHeight="false" outlineLevel="0" collapsed="false">
      <c r="A30" s="17" t="n">
        <v>46204</v>
      </c>
      <c r="B30" s="42"/>
      <c r="C30" s="42"/>
      <c r="D30" s="19" t="n">
        <f aca="false">IFERROR(B30/$B$7*100,"")</f>
        <v>0</v>
      </c>
      <c r="E30" s="19" t="n">
        <f aca="false">IFERROR(C30/$C$7*100,"")</f>
        <v>0</v>
      </c>
    </row>
    <row r="31" customFormat="false" ht="15" hidden="false" customHeight="false" outlineLevel="0" collapsed="false">
      <c r="A31" s="2" t="s">
        <v>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5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1" t="s">
        <v>244</v>
      </c>
    </row>
    <row r="2" customFormat="false" ht="15" hidden="false" customHeight="false" outlineLevel="0" collapsed="false">
      <c r="A2" s="2" t="s">
        <v>245</v>
      </c>
    </row>
    <row r="4" customFormat="false" ht="15" hidden="false" customHeight="false" outlineLevel="0" collapsed="false">
      <c r="A4" s="6"/>
      <c r="B4" s="6" t="s">
        <v>246</v>
      </c>
      <c r="C4" s="6" t="s">
        <v>247</v>
      </c>
      <c r="D4" s="6" t="s">
        <v>248</v>
      </c>
      <c r="E4" s="46" t="s">
        <v>249</v>
      </c>
    </row>
    <row r="5" customFormat="false" ht="15" hidden="false" customHeight="false" outlineLevel="0" collapsed="false">
      <c r="A5" s="8" t="s">
        <v>250</v>
      </c>
      <c r="B5" s="9"/>
      <c r="C5" s="9"/>
      <c r="D5" s="9"/>
      <c r="E5" s="9"/>
    </row>
    <row r="6" customFormat="false" ht="15" hidden="false" customHeight="false" outlineLevel="0" collapsed="false">
      <c r="A6" s="5" t="s">
        <v>251</v>
      </c>
      <c r="B6" s="47" t="s">
        <v>252</v>
      </c>
      <c r="C6" s="47" t="s">
        <v>253</v>
      </c>
      <c r="D6" s="47" t="s">
        <v>254</v>
      </c>
      <c r="E6" s="45" t="s">
        <v>255</v>
      </c>
    </row>
    <row r="7" customFormat="false" ht="15" hidden="false" customHeight="false" outlineLevel="0" collapsed="false">
      <c r="A7" s="5" t="s">
        <v>144</v>
      </c>
      <c r="B7" s="14" t="n">
        <v>120</v>
      </c>
      <c r="C7" s="14" t="n">
        <v>84</v>
      </c>
      <c r="D7" s="14" t="n">
        <v>62</v>
      </c>
      <c r="E7" s="45" t="s">
        <v>256</v>
      </c>
    </row>
    <row r="8" customFormat="false" ht="15" hidden="false" customHeight="false" outlineLevel="0" collapsed="false">
      <c r="A8" s="5" t="s">
        <v>257</v>
      </c>
      <c r="B8" s="47" t="s">
        <v>258</v>
      </c>
      <c r="C8" s="47" t="s">
        <v>259</v>
      </c>
      <c r="D8" s="47" t="s">
        <v>260</v>
      </c>
      <c r="E8" s="45" t="s">
        <v>261</v>
      </c>
    </row>
    <row r="9" customFormat="false" ht="15" hidden="false" customHeight="false" outlineLevel="0" collapsed="false">
      <c r="A9" s="5" t="s">
        <v>262</v>
      </c>
      <c r="B9" s="47" t="s">
        <v>263</v>
      </c>
      <c r="C9" s="47" t="s">
        <v>264</v>
      </c>
      <c r="D9" s="47" t="s">
        <v>265</v>
      </c>
      <c r="E9" s="45" t="s">
        <v>266</v>
      </c>
    </row>
    <row r="10" customFormat="false" ht="15" hidden="false" customHeight="false" outlineLevel="0" collapsed="false">
      <c r="A10" s="8" t="s">
        <v>267</v>
      </c>
      <c r="B10" s="9"/>
      <c r="C10" s="9"/>
      <c r="D10" s="9"/>
      <c r="E10" s="9"/>
    </row>
    <row r="11" customFormat="false" ht="15" hidden="false" customHeight="false" outlineLevel="0" collapsed="false">
      <c r="A11" s="5" t="s">
        <v>268</v>
      </c>
      <c r="B11" s="48"/>
      <c r="C11" s="48"/>
      <c r="D11" s="48"/>
      <c r="E11" s="45" t="s">
        <v>269</v>
      </c>
    </row>
    <row r="12" customFormat="false" ht="15" hidden="false" customHeight="false" outlineLevel="0" collapsed="false">
      <c r="A12" s="5" t="s">
        <v>270</v>
      </c>
      <c r="B12" s="48"/>
      <c r="C12" s="48"/>
      <c r="D12" s="48"/>
      <c r="E12" s="45" t="s">
        <v>271</v>
      </c>
    </row>
    <row r="13" customFormat="false" ht="15" hidden="false" customHeight="false" outlineLevel="0" collapsed="false">
      <c r="A13" s="8" t="s">
        <v>272</v>
      </c>
      <c r="B13" s="9"/>
      <c r="C13" s="9"/>
      <c r="D13" s="9"/>
      <c r="E13" s="9"/>
    </row>
    <row r="14" customFormat="false" ht="15" hidden="false" customHeight="false" outlineLevel="0" collapsed="false">
      <c r="A14" s="5" t="s">
        <v>273</v>
      </c>
      <c r="B14" s="48"/>
      <c r="C14" s="48"/>
      <c r="D14" s="48"/>
      <c r="E14" s="45" t="s">
        <v>274</v>
      </c>
    </row>
    <row r="15" customFormat="false" ht="15" hidden="false" customHeight="false" outlineLevel="0" collapsed="false">
      <c r="A15" s="5" t="s">
        <v>275</v>
      </c>
      <c r="B15" s="48"/>
      <c r="C15" s="48"/>
      <c r="D15" s="48"/>
      <c r="E15" s="45" t="s">
        <v>276</v>
      </c>
    </row>
    <row r="16" customFormat="false" ht="15" hidden="false" customHeight="false" outlineLevel="0" collapsed="false">
      <c r="A16" s="8" t="s">
        <v>277</v>
      </c>
      <c r="B16" s="9"/>
      <c r="C16" s="9"/>
      <c r="D16" s="9"/>
      <c r="E16" s="9"/>
    </row>
    <row r="17" customFormat="false" ht="15" hidden="false" customHeight="false" outlineLevel="0" collapsed="false">
      <c r="A17" s="5" t="s">
        <v>278</v>
      </c>
      <c r="B17" s="49" t="n">
        <f aca="false">IFERROR(B11*B14,"fill inputs")</f>
        <v>0</v>
      </c>
      <c r="C17" s="49" t="n">
        <f aca="false">IFERROR(C11*C14,"fill inputs")</f>
        <v>0</v>
      </c>
      <c r="D17" s="49" t="n">
        <f aca="false">IFERROR(D11*D14,"fill inputs")</f>
        <v>0</v>
      </c>
    </row>
    <row r="18" customFormat="false" ht="15" hidden="false" customHeight="false" outlineLevel="0" collapsed="false">
      <c r="A18" s="5" t="s">
        <v>279</v>
      </c>
      <c r="B18" s="49" t="n">
        <f aca="false">IFERROR(B12*B15/100,"fill inputs")</f>
        <v>0</v>
      </c>
      <c r="C18" s="49" t="n">
        <f aca="false">IFERROR(C12*C15/100,"fill inputs")</f>
        <v>0</v>
      </c>
      <c r="D18" s="49" t="n">
        <f aca="false">IFERROR(D12*D15/100,"fill inputs")</f>
        <v>0</v>
      </c>
    </row>
    <row r="19" customFormat="false" ht="15" hidden="false" customHeight="false" outlineLevel="0" collapsed="false">
      <c r="A19" s="4" t="s">
        <v>280</v>
      </c>
      <c r="B19" s="50" t="n">
        <f aca="false">IFERROR(B17+B18,"fill inputs")</f>
        <v>0</v>
      </c>
      <c r="C19" s="50" t="n">
        <f aca="false">IFERROR(C17+C18,"fill inputs")</f>
        <v>0</v>
      </c>
      <c r="D19" s="50" t="n">
        <f aca="false">IFERROR(D17+D18,"fill inputs")</f>
        <v>0</v>
      </c>
    </row>
    <row r="21" customFormat="false" ht="15" hidden="false" customHeight="false" outlineLevel="0" collapsed="false">
      <c r="A21" s="3" t="s">
        <v>281</v>
      </c>
    </row>
    <row r="22" customFormat="false" ht="15" hidden="false" customHeight="true" outlineLevel="0" collapsed="false">
      <c r="A22" s="51" t="s">
        <v>282</v>
      </c>
      <c r="B22" s="51"/>
      <c r="C22" s="51"/>
      <c r="D22" s="51"/>
      <c r="E22" s="51"/>
    </row>
    <row r="23" customFormat="false" ht="15" hidden="false" customHeight="false" outlineLevel="0" collapsed="false">
      <c r="A23" s="51"/>
      <c r="B23" s="51"/>
      <c r="C23" s="51"/>
      <c r="D23" s="51"/>
      <c r="E23" s="51"/>
    </row>
  </sheetData>
  <mergeCells count="1">
    <mergeCell ref="A22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2026-08-09T16:47:19Z</dcterms:created>
  <dc:creator>openpyxl</dc:creator>
  <dc:description/>
  <dc:language>en-US</dc:language>
  <cp:lastModifiedBy/>
  <dcterms:modified xsi:type="dcterms:W3CDTF">2026-08-09T16:47:21Z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