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vs_Growth_Clean" sheetId="1" state="visible" r:id="rId3"/>
    <sheet name="Alt_Derating_vs_Revi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<sst xmlns="http://schemas.openxmlformats.org/spreadsheetml/2006/main" count="59" uniqueCount="47">
  <si>
    <t xml:space="preserve">VALUATION vs GROWTH — CLEANED</t>
  </si>
  <si>
    <t xml:space="preserve">8 baskets. STAR 50, China Energy, China Info Tech, HK Financials, Taiwan ex-Tech, Korea Industrials and TOPIX Elec Appliances removed.</t>
  </si>
  <si>
    <t xml:space="preserve">ILLUSTRATIVE PLACEHOLDER DATA — replace every yellow cell before use.</t>
  </si>
  <si>
    <t xml:space="preserve">Basket</t>
  </si>
  <si>
    <t xml:space="preserve">Fwd P/E</t>
  </si>
  <si>
    <t xml:space="preserve">5Y avg P/E</t>
  </si>
  <si>
    <t xml:space="preserve">FY26E EPS g</t>
  </si>
  <si>
    <t xml:space="preserve">FY27E EPS g</t>
  </si>
  <si>
    <t xml:space="preserve">2Y CAGR</t>
  </si>
  <si>
    <t xml:space="preserve">PEG</t>
  </si>
  <si>
    <t xml:space="preserve">Why it stays</t>
  </si>
  <si>
    <t xml:space="preserve">CHINA INDUSTRIAL COMPLEX</t>
  </si>
  <si>
    <t xml:space="preserve">MSCI China Industrials</t>
  </si>
  <si>
    <t xml:space="preserve">The GICS home of the trade</t>
  </si>
  <si>
    <t xml:space="preserve">CSI New Energy (399808)</t>
  </si>
  <si>
    <t xml:space="preserve">The thematic home of the trade</t>
  </si>
  <si>
    <t xml:space="preserve">MSCI China Materials</t>
  </si>
  <si>
    <t xml:space="preserve">Upstream — cathode, lithium, cell inputs</t>
  </si>
  <si>
    <t xml:space="preserve">MSCI China Utilities</t>
  </si>
  <si>
    <t xml:space="preserve">Downstream — grid + storage demand</t>
  </si>
  <si>
    <t xml:space="preserve">MSCI China Cons Disc</t>
  </si>
  <si>
    <t xml:space="preserve">End demand — NEV volumes</t>
  </si>
  <si>
    <t xml:space="preserve">REGIONAL COMPARATORS</t>
  </si>
  <si>
    <t xml:space="preserve">MSCI Korea IT</t>
  </si>
  <si>
    <t xml:space="preserve">Battery + semi peer set (LGES, SDI)</t>
  </si>
  <si>
    <t xml:space="preserve">MSCI Taiwan IT</t>
  </si>
  <si>
    <t xml:space="preserve">The crowded North Asia consensus trade</t>
  </si>
  <si>
    <t xml:space="preserve">MSCI Japan Industrials</t>
  </si>
  <si>
    <t xml:space="preserve">DM industrial valuation anchor</t>
  </si>
  <si>
    <t xml:space="preserve">PEG 1.0x REFERENCE LINE</t>
  </si>
  <si>
    <t xml:space="preserve">Growth</t>
  </si>
  <si>
    <t xml:space="preserve">P/E</t>
  </si>
  <si>
    <t xml:space="preserve">Any basket BELOW this line buys growth at less than 1x. Above it, you pay a premium per point of growth.</t>
  </si>
  <si>
    <t xml:space="preserve">TO ADD BASKET NAMES: right-click a series &gt; Add Data Labels &gt; Format Data Labels &gt; tick 'Value From Cells' &gt; select column B for that group.</t>
  </si>
  <si>
    <t xml:space="preserve">openpyxl cannot write label-from-cells, so this is a 30-second manual step in Excel.</t>
  </si>
  <si>
    <t xml:space="preserve">ALTERNATIVE — DE-RATING vs EARNINGS REVISIONS</t>
  </si>
  <si>
    <t xml:space="preserve">This chart fits the 'cheap AND inflecting' thesis far better than valuation-vs-growth.</t>
  </si>
  <si>
    <t xml:space="preserve">P/E vs 5Y avg</t>
  </si>
  <si>
    <t xml:space="preserve">3M rev ratio</t>
  </si>
  <si>
    <t xml:space="preserve">Quadrant</t>
  </si>
  <si>
    <t xml:space="preserve">QUADRANT KEY</t>
  </si>
  <si>
    <t xml:space="preserve">Top-left  — CHEAP + UPGRADING : de-rated vs own history, but estimates now rising. The thesis quadrant.</t>
  </si>
  <si>
    <t xml:space="preserve">Bottom-left — VALUE TRAP      : cheap because estimates are still being cut. The multiple has further to fall.</t>
  </si>
  <si>
    <t xml:space="preserve">Top-right — WORKING           : already re-rated and still upgrading. Momentum, but you are late.</t>
  </si>
  <si>
    <t xml:space="preserve">Bottom-right — VULNERABLE     : premium multiple, estimates turning down. The short candidates.</t>
  </si>
  <si>
    <t xml:space="preserve">TO ADD QUADRANT LINES: Format the X axis &gt; set 'Vertical axis crosses' to 0.0, and the Y axis &gt; 'Horizontal axis crosses' to 1.0. The axes then draw the crosshair for you.</t>
  </si>
  <si>
    <t xml:space="preserve">Add basket names via Data Labels &gt; Value From Cells &gt; column B, same as the other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</si>
</sst>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x"/>
    <numFmt numFmtId="166" formatCode="0.0%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vs Growth — Fwd P/E vs 2Y EPS CAGR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"PEG 1.0x"</c:f>
              <c:strCache>
                <c:ptCount val="1"/>
                <c:pt idx="0">
                  <c:v>PEG 1.0x</c:v>
                </c:pt>
              </c:strCache>
            </c:strRef>
          </c:tx>
          <c:spPr>
            <a:solidFill>
              <a:srgbClr val="d0d0d0"/>
            </a:solidFill>
            <a:ln w="15120">
              <a:solidFill>
                <a:srgbClr val="d0d0d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Val_vs_Growth_Clean!$B$20:$B$21</c:f>
              <c:numCache>
                <c:formatCode>0.0%</c:formatCode>
                <c:ptCount val="2"/>
                <c:pt idx="0">
                  <c:v>0</c:v>
                </c:pt>
                <c:pt idx="1">
                  <c:v>0.26</c:v>
                </c:pt>
              </c:numCache>
            </c:numRef>
          </c:xVal>
          <c:yVal>
            <c:numRef>
              <c:f>Val_vs_Growth_Clean!$C$20:$C$21</c:f>
              <c:numCache>
                <c:formatCode>0.0\x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"China industrial complex"</c:f>
              <c:strCache>
                <c:ptCount val="1"/>
                <c:pt idx="0">
                  <c:v>China industrial complex</c:v>
                </c:pt>
              </c:strCache>
            </c:strRef>
          </c:tx>
          <c:spPr>
            <a:solidFill>
              <a:srgbClr val="1f3864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Val_vs_Growth_Clean!$G$8:$G$12</c:f>
              <c:numCache>
                <c:formatCode>0.0%</c:formatCode>
                <c:ptCount val="5"/>
                <c:pt idx="0">
                  <c:v>0.13995613950713</c:v>
                </c:pt>
                <c:pt idx="1">
                  <c:v>0.204906635387157</c:v>
                </c:pt>
                <c:pt idx="2">
                  <c:v>0.0949885844153811</c:v>
                </c:pt>
                <c:pt idx="3">
                  <c:v>0.0874971264329851</c:v>
                </c:pt>
                <c:pt idx="4">
                  <c:v>0.159956895750872</c:v>
                </c:pt>
              </c:numCache>
            </c:numRef>
          </c:xVal>
          <c:yVal>
            <c:numRef>
              <c:f>Val_vs_Growth_Clean!$C$8:$C$12</c:f>
              <c:numCache>
                <c:formatCode>0.0\x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12</c:v>
                </c:pt>
                <c:pt idx="3">
                  <c:v>13</c:v>
                </c:pt>
                <c:pt idx="4">
                  <c:v>15.5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"Regional comparators"</c:f>
              <c:strCache>
                <c:ptCount val="1"/>
                <c:pt idx="0">
                  <c:v>Regional comparators</c:v>
                </c:pt>
              </c:strCache>
            </c:strRef>
          </c:tx>
          <c:spPr>
            <a:solidFill>
              <a:srgbClr val="bfbfbf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Val_vs_Growth_Clean!$G$14:$G$16</c:f>
              <c:numCache>
                <c:formatCode>0.0%</c:formatCode>
                <c:ptCount val="3"/>
                <c:pt idx="0">
                  <c:v>0.238547536431283</c:v>
                </c:pt>
                <c:pt idx="1">
                  <c:v>0.194152419082254</c:v>
                </c:pt>
                <c:pt idx="2">
                  <c:v>0.0724970862431282</c:v>
                </c:pt>
              </c:numCache>
            </c:numRef>
          </c:xVal>
          <c:yVal>
            <c:numRef>
              <c:f>Val_vs_Growth_Clean!$C$14:$C$16</c:f>
              <c:numCache>
                <c:formatCode>0.0\x</c:formatCode>
                <c:ptCount val="3"/>
                <c:pt idx="0">
                  <c:v>13</c:v>
                </c:pt>
                <c:pt idx="1">
                  <c:v>18</c:v>
                </c:pt>
                <c:pt idx="2">
                  <c:v>17</c:v>
                </c:pt>
              </c:numCache>
            </c:numRef>
          </c:yVal>
          <c:smooth val="1"/>
        </c:ser>
        <c:axId val="56265630"/>
        <c:axId val="21138217"/>
      </c:scatterChart>
      <c:valAx>
        <c:axId val="56265630"/>
        <c:scaling>
          <c:orientation val="minMax"/>
          <c:max val="0.3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2Y EPS CAGR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38217"/>
        <c:crosses val="autoZero"/>
        <c:crossBetween val="midCat"/>
      </c:valAx>
      <c:valAx>
        <c:axId val="21138217"/>
        <c:scaling>
          <c:orientation val="minMax"/>
          <c:max val="2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Fwd 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656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De-rating vs Earnings Revisions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"China industrial complex"</c:f>
              <c:strCache>
                <c:ptCount val="1"/>
                <c:pt idx="0">
                  <c:v>China industrial complex</c:v>
                </c:pt>
              </c:strCache>
            </c:strRef>
          </c:tx>
          <c:spPr>
            <a:solidFill>
              <a:srgbClr val="1f3864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Alt_Derating_vs_Revisions!$E$7:$E$11</c:f>
              <c:numCache>
                <c:formatCode>0.0%</c:formatCode>
                <c:ptCount val="5"/>
                <c:pt idx="0">
                  <c:v>0.0769230769230769</c:v>
                </c:pt>
                <c:pt idx="1">
                  <c:v>-0.227272727272727</c:v>
                </c:pt>
                <c:pt idx="2">
                  <c:v>-0.04</c:v>
                </c:pt>
                <c:pt idx="3">
                  <c:v>0.0833333333333333</c:v>
                </c:pt>
                <c:pt idx="4">
                  <c:v>-0.138888888888889</c:v>
                </c:pt>
              </c:numCache>
            </c:numRef>
          </c:xVal>
          <c:yVal>
            <c:numRef>
              <c:f>Alt_Derating_vs_Revisions!$F$7:$F$11</c:f>
              <c:numCache>
                <c:formatCode>0.00</c:formatCode>
                <c:ptCount val="5"/>
                <c:pt idx="0">
                  <c:v>1.15</c:v>
                </c:pt>
                <c:pt idx="1">
                  <c:v>1.35</c:v>
                </c:pt>
                <c:pt idx="2">
                  <c:v>1.02</c:v>
                </c:pt>
                <c:pt idx="3">
                  <c:v>1.05</c:v>
                </c:pt>
                <c:pt idx="4">
                  <c:v>1.1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"Regional comparators"</c:f>
              <c:strCache>
                <c:ptCount val="1"/>
                <c:pt idx="0">
                  <c:v>Regional comparators</c:v>
                </c:pt>
              </c:strCache>
            </c:strRef>
          </c:tx>
          <c:spPr>
            <a:solidFill>
              <a:srgbClr val="bfbfbf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bfbfb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Alt_Derating_vs_Revisions!$E$12:$E$14</c:f>
              <c:numCache>
                <c:formatCode>0.0%</c:formatCode>
                <c:ptCount val="3"/>
                <c:pt idx="0">
                  <c:v>-0.0714285714285714</c:v>
                </c:pt>
                <c:pt idx="1">
                  <c:v>0.0909090909090909</c:v>
                </c:pt>
                <c:pt idx="2">
                  <c:v>0.0625</c:v>
                </c:pt>
              </c:numCache>
            </c:numRef>
          </c:xVal>
          <c:yVal>
            <c:numRef>
              <c:f>Alt_Derating_vs_Revisions!$F$12:$F$14</c:f>
              <c:numCache>
                <c:formatCode>0.00</c:formatCode>
                <c:ptCount val="3"/>
                <c:pt idx="0">
                  <c:v>1.22</c:v>
                </c:pt>
                <c:pt idx="1">
                  <c:v>1.3</c:v>
                </c:pt>
                <c:pt idx="2">
                  <c:v>0.95</c:v>
                </c:pt>
              </c:numCache>
            </c:numRef>
          </c:yVal>
          <c:smooth val="1"/>
        </c:ser>
        <c:axId val="78766715"/>
        <c:axId val="67347218"/>
      </c:scatterChart>
      <c:valAx>
        <c:axId val="78766715"/>
        <c:scaling>
          <c:orientation val="minMax"/>
          <c:max val="0.15"/>
          <c:min val="-0.3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Fwd P/E vs own 5Y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47218"/>
        <c:crosses val="autoZero"/>
        <c:crossBetween val="midCat"/>
      </c:valAx>
      <c:valAx>
        <c:axId val="67347218"/>
        <c:scaling>
          <c:orientation val="minMax"/>
          <c:max val="1.45"/>
          <c:min val="0.8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3M EPS revision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667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160920</xdr:rowOff>
    </xdr:from>
    <xdr:to>
      <xdr:col>8</xdr:col>
      <xdr:colOff>1575720</xdr:colOff>
      <xdr:row>45</xdr:row>
      <xdr:rowOff>99000</xdr:rowOff>
    </xdr:to>
    <xdr:graphicFrame>
      <xdr:nvGraphicFramePr>
        <xdr:cNvPr id="0" name="Chart 1"/>
        <xdr:cNvGraphicFramePr/>
      </xdr:nvGraphicFramePr>
      <xdr:xfrm>
        <a:off x="211320" y="4543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160560</xdr:rowOff>
    </xdr:from>
    <xdr:to>
      <xdr:col>7</xdr:col>
      <xdr:colOff>1575720</xdr:colOff>
      <xdr:row>43</xdr:row>
      <xdr:rowOff>98640</xdr:rowOff>
    </xdr:to>
    <xdr:graphicFrame>
      <xdr:nvGraphicFramePr>
        <xdr:cNvPr id="1" name="Chart 1"/>
        <xdr:cNvGraphicFramePr/>
      </xdr:nvGraphicFramePr>
      <xdr:xfrm>
        <a:off x="211320" y="41623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3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7.7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customFormat="false" ht="15" hidden="false" customHeight="false" outlineLevel="0" collapsed="false">
      <c r="B7" s="5" t="s">
        <v>11</v>
      </c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B8" s="7" t="s">
        <v>12</v>
      </c>
      <c r="C8" s="8" t="n">
        <v>14</v>
      </c>
      <c r="D8" s="8" t="n">
        <v>13</v>
      </c>
      <c r="E8" s="9" t="n">
        <v>0.15</v>
      </c>
      <c r="F8" s="9" t="n">
        <v>0.13</v>
      </c>
      <c r="G8" s="10" t="n">
        <f aca="false">IFERROR(((1+E8)*(1+F8))^0.5-1,"")</f>
        <v>0.13995613950713</v>
      </c>
      <c r="H8" s="11" t="n">
        <f aca="false">IFERROR(C8/(G8*100),"")</f>
        <v>1.00031338741569</v>
      </c>
      <c r="I8" s="12" t="s">
        <v>13</v>
      </c>
    </row>
    <row r="9" customFormat="false" ht="15" hidden="false" customHeight="false" outlineLevel="0" collapsed="false">
      <c r="B9" s="7" t="s">
        <v>14</v>
      </c>
      <c r="C9" s="8" t="n">
        <v>17</v>
      </c>
      <c r="D9" s="8" t="n">
        <v>22</v>
      </c>
      <c r="E9" s="9" t="n">
        <v>0.22</v>
      </c>
      <c r="F9" s="9" t="n">
        <v>0.19</v>
      </c>
      <c r="G9" s="10" t="n">
        <f aca="false">IFERROR(((1+E9)*(1+F9))^0.5-1,"")</f>
        <v>0.204906635387157</v>
      </c>
      <c r="H9" s="11" t="n">
        <f aca="false">IFERROR(C9/(G9*100),"")</f>
        <v>0.82964614434665</v>
      </c>
      <c r="I9" s="12" t="s">
        <v>15</v>
      </c>
    </row>
    <row r="10" customFormat="false" ht="15" hidden="false" customHeight="false" outlineLevel="0" collapsed="false">
      <c r="B10" s="7" t="s">
        <v>16</v>
      </c>
      <c r="C10" s="8" t="n">
        <v>12</v>
      </c>
      <c r="D10" s="8" t="n">
        <v>12.5</v>
      </c>
      <c r="E10" s="9" t="n">
        <v>0.1</v>
      </c>
      <c r="F10" s="9" t="n">
        <v>0.09</v>
      </c>
      <c r="G10" s="10" t="n">
        <f aca="false">IFERROR(((1+E10)*(1+F10))^0.5-1,"")</f>
        <v>0.0949885844153811</v>
      </c>
      <c r="H10" s="11" t="n">
        <f aca="false">IFERROR(C10/(G10*100),"")</f>
        <v>1.26330969914495</v>
      </c>
      <c r="I10" s="12" t="s">
        <v>17</v>
      </c>
    </row>
    <row r="11" customFormat="false" ht="15" hidden="false" customHeight="false" outlineLevel="0" collapsed="false">
      <c r="B11" s="7" t="s">
        <v>18</v>
      </c>
      <c r="C11" s="8" t="n">
        <v>13</v>
      </c>
      <c r="D11" s="8" t="n">
        <v>12</v>
      </c>
      <c r="E11" s="9" t="n">
        <v>0.09</v>
      </c>
      <c r="F11" s="9" t="n">
        <v>0.085</v>
      </c>
      <c r="G11" s="10" t="n">
        <f aca="false">IFERROR(((1+E11)*(1+F11))^0.5-1,"")</f>
        <v>0.0874971264329851</v>
      </c>
      <c r="H11" s="11" t="n">
        <f aca="false">IFERROR(C11/(G11*100),"")</f>
        <v>1.48576307931173</v>
      </c>
      <c r="I11" s="12" t="s">
        <v>19</v>
      </c>
    </row>
    <row r="12" customFormat="false" ht="15" hidden="false" customHeight="false" outlineLevel="0" collapsed="false">
      <c r="B12" s="7" t="s">
        <v>20</v>
      </c>
      <c r="C12" s="8" t="n">
        <v>15.5</v>
      </c>
      <c r="D12" s="8" t="n">
        <v>18</v>
      </c>
      <c r="E12" s="9" t="n">
        <v>0.17</v>
      </c>
      <c r="F12" s="9" t="n">
        <v>0.15</v>
      </c>
      <c r="G12" s="10" t="n">
        <f aca="false">IFERROR(((1+E12)*(1+F12))^0.5-1,"")</f>
        <v>0.159956895750872</v>
      </c>
      <c r="H12" s="11" t="n">
        <f aca="false">IFERROR(C12/(G12*100),"")</f>
        <v>0.969011053086498</v>
      </c>
      <c r="I12" s="12" t="s">
        <v>21</v>
      </c>
    </row>
    <row r="13" customFormat="false" ht="15" hidden="false" customHeight="false" outlineLevel="0" collapsed="false">
      <c r="B13" s="13" t="s">
        <v>22</v>
      </c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B14" s="7" t="s">
        <v>23</v>
      </c>
      <c r="C14" s="8" t="n">
        <v>13</v>
      </c>
      <c r="D14" s="8" t="n">
        <v>14</v>
      </c>
      <c r="E14" s="9" t="n">
        <v>0.3</v>
      </c>
      <c r="F14" s="9" t="n">
        <v>0.18</v>
      </c>
      <c r="G14" s="10" t="n">
        <f aca="false">IFERROR(((1+E14)*(1+F14))^0.5-1,"")</f>
        <v>0.238547536431283</v>
      </c>
      <c r="H14" s="11" t="n">
        <f aca="false">IFERROR(C14/(G14*100),"")</f>
        <v>0.54496475606005</v>
      </c>
      <c r="I14" s="12" t="s">
        <v>24</v>
      </c>
    </row>
    <row r="15" customFormat="false" ht="15" hidden="false" customHeight="false" outlineLevel="0" collapsed="false">
      <c r="B15" s="7" t="s">
        <v>25</v>
      </c>
      <c r="C15" s="8" t="n">
        <v>18</v>
      </c>
      <c r="D15" s="8" t="n">
        <v>16.5</v>
      </c>
      <c r="E15" s="9" t="n">
        <v>0.24</v>
      </c>
      <c r="F15" s="9" t="n">
        <v>0.15</v>
      </c>
      <c r="G15" s="10" t="n">
        <f aca="false">IFERROR(((1+E15)*(1+F15))^0.5-1,"")</f>
        <v>0.194152419082254</v>
      </c>
      <c r="H15" s="11" t="n">
        <f aca="false">IFERROR(C15/(G15*100),"")</f>
        <v>0.927106655950248</v>
      </c>
      <c r="I15" s="12" t="s">
        <v>26</v>
      </c>
    </row>
    <row r="16" customFormat="false" ht="15" hidden="false" customHeight="false" outlineLevel="0" collapsed="false">
      <c r="B16" s="7" t="s">
        <v>27</v>
      </c>
      <c r="C16" s="8" t="n">
        <v>17</v>
      </c>
      <c r="D16" s="8" t="n">
        <v>16</v>
      </c>
      <c r="E16" s="9" t="n">
        <v>0.075</v>
      </c>
      <c r="F16" s="9" t="n">
        <v>0.07</v>
      </c>
      <c r="G16" s="10" t="n">
        <f aca="false">IFERROR(((1+E16)*(1+F16))^0.5-1,"")</f>
        <v>0.0724970862431282</v>
      </c>
      <c r="H16" s="11" t="n">
        <f aca="false">IFERROR(C16/(G16*100),"")</f>
        <v>2.34492182802883</v>
      </c>
      <c r="I16" s="12" t="s">
        <v>28</v>
      </c>
    </row>
    <row r="18" customFormat="false" ht="15" hidden="false" customHeight="false" outlineLevel="0" collapsed="false">
      <c r="B18" s="15" t="s">
        <v>29</v>
      </c>
    </row>
    <row r="19" customFormat="false" ht="15" hidden="false" customHeight="false" outlineLevel="0" collapsed="false">
      <c r="B19" s="16" t="s">
        <v>30</v>
      </c>
      <c r="C19" s="16" t="s">
        <v>31</v>
      </c>
    </row>
    <row r="20" customFormat="false" ht="15" hidden="false" customHeight="false" outlineLevel="0" collapsed="false">
      <c r="B20" s="10" t="n">
        <v>0</v>
      </c>
      <c r="C20" s="17" t="n">
        <v>0</v>
      </c>
    </row>
    <row r="21" customFormat="false" ht="15" hidden="false" customHeight="false" outlineLevel="0" collapsed="false">
      <c r="B21" s="10" t="n">
        <v>0.26</v>
      </c>
      <c r="C21" s="17" t="n">
        <v>26</v>
      </c>
    </row>
    <row r="22" customFormat="false" ht="15" hidden="false" customHeight="false" outlineLevel="0" collapsed="false">
      <c r="B22" s="12" t="s">
        <v>32</v>
      </c>
    </row>
    <row r="48" customFormat="false" ht="15" hidden="false" customHeight="false" outlineLevel="0" collapsed="false">
      <c r="B48" s="12" t="s">
        <v>33</v>
      </c>
    </row>
    <row r="49" customFormat="false" ht="15" hidden="false" customHeight="false" outlineLevel="0" collapsed="false">
      <c r="B49" s="1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1" t="s">
        <v>35</v>
      </c>
    </row>
    <row r="3" customFormat="false" ht="15" hidden="false" customHeight="false" outlineLevel="0" collapsed="false">
      <c r="B3" s="2" t="s">
        <v>36</v>
      </c>
    </row>
    <row r="4" customFormat="false" ht="15" hidden="false" customHeight="false" outlineLevel="0" collapsed="false">
      <c r="B4" s="3" t="s">
        <v>2</v>
      </c>
    </row>
    <row r="6" customFormat="false" ht="27.7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37</v>
      </c>
      <c r="F6" s="4" t="s">
        <v>38</v>
      </c>
      <c r="G6" s="4" t="s">
        <v>39</v>
      </c>
    </row>
    <row r="7" customFormat="false" ht="15" hidden="false" customHeight="false" outlineLevel="0" collapsed="false">
      <c r="B7" s="18" t="s">
        <v>12</v>
      </c>
      <c r="C7" s="8" t="n">
        <v>14</v>
      </c>
      <c r="D7" s="8" t="n">
        <v>13</v>
      </c>
      <c r="E7" s="10" t="n">
        <f aca="false">IFERROR((C7-D7)/D7,"")</f>
        <v>0.0769230769230769</v>
      </c>
      <c r="F7" s="19" t="n">
        <v>1.15</v>
      </c>
      <c r="G7" s="20" t="str">
        <f aca="false">IF(E7&lt;0,IF(F7&gt;1,"CHEAP + UPGRADING","VALUE TRAP"),IF(F7&gt;1,"WORKING","VULNERABLE"))</f>
        <v>WORKING</v>
      </c>
    </row>
    <row r="8" customFormat="false" ht="15" hidden="false" customHeight="false" outlineLevel="0" collapsed="false">
      <c r="B8" s="18" t="s">
        <v>14</v>
      </c>
      <c r="C8" s="8" t="n">
        <v>17</v>
      </c>
      <c r="D8" s="8" t="n">
        <v>22</v>
      </c>
      <c r="E8" s="10" t="n">
        <f aca="false">IFERROR((C8-D8)/D8,"")</f>
        <v>-0.227272727272727</v>
      </c>
      <c r="F8" s="19" t="n">
        <v>1.35</v>
      </c>
      <c r="G8" s="20" t="str">
        <f aca="false">IF(E8&lt;0,IF(F8&gt;1,"CHEAP + UPGRADING","VALUE TRAP"),IF(F8&gt;1,"WORKING","VULNERABLE"))</f>
        <v>CHEAP + UPGRADING</v>
      </c>
    </row>
    <row r="9" customFormat="false" ht="15" hidden="false" customHeight="false" outlineLevel="0" collapsed="false">
      <c r="B9" s="18" t="s">
        <v>16</v>
      </c>
      <c r="C9" s="8" t="n">
        <v>12</v>
      </c>
      <c r="D9" s="8" t="n">
        <v>12.5</v>
      </c>
      <c r="E9" s="10" t="n">
        <f aca="false">IFERROR((C9-D9)/D9,"")</f>
        <v>-0.04</v>
      </c>
      <c r="F9" s="19" t="n">
        <v>1.02</v>
      </c>
      <c r="G9" s="20" t="str">
        <f aca="false">IF(E9&lt;0,IF(F9&gt;1,"CHEAP + UPGRADING","VALUE TRAP"),IF(F9&gt;1,"WORKING","VULNERABLE"))</f>
        <v>CHEAP + UPGRADING</v>
      </c>
    </row>
    <row r="10" customFormat="false" ht="15" hidden="false" customHeight="false" outlineLevel="0" collapsed="false">
      <c r="B10" s="18" t="s">
        <v>18</v>
      </c>
      <c r="C10" s="8" t="n">
        <v>13</v>
      </c>
      <c r="D10" s="8" t="n">
        <v>12</v>
      </c>
      <c r="E10" s="10" t="n">
        <f aca="false">IFERROR((C10-D10)/D10,"")</f>
        <v>0.0833333333333333</v>
      </c>
      <c r="F10" s="19" t="n">
        <v>1.05</v>
      </c>
      <c r="G10" s="20" t="str">
        <f aca="false">IF(E10&lt;0,IF(F10&gt;1,"CHEAP + UPGRADING","VALUE TRAP"),IF(F10&gt;1,"WORKING","VULNERABLE"))</f>
        <v>WORKING</v>
      </c>
    </row>
    <row r="11" customFormat="false" ht="15" hidden="false" customHeight="false" outlineLevel="0" collapsed="false">
      <c r="B11" s="18" t="s">
        <v>20</v>
      </c>
      <c r="C11" s="8" t="n">
        <v>15.5</v>
      </c>
      <c r="D11" s="8" t="n">
        <v>18</v>
      </c>
      <c r="E11" s="10" t="n">
        <f aca="false">IFERROR((C11-D11)/D11,"")</f>
        <v>-0.138888888888889</v>
      </c>
      <c r="F11" s="19" t="n">
        <v>1.1</v>
      </c>
      <c r="G11" s="20" t="str">
        <f aca="false">IF(E11&lt;0,IF(F11&gt;1,"CHEAP + UPGRADING","VALUE TRAP"),IF(F11&gt;1,"WORKING","VULNERABLE"))</f>
        <v>CHEAP + UPGRADING</v>
      </c>
    </row>
    <row r="12" customFormat="false" ht="15" hidden="false" customHeight="false" outlineLevel="0" collapsed="false">
      <c r="B12" s="7" t="s">
        <v>23</v>
      </c>
      <c r="C12" s="8" t="n">
        <v>13</v>
      </c>
      <c r="D12" s="8" t="n">
        <v>14</v>
      </c>
      <c r="E12" s="10" t="n">
        <f aca="false">IFERROR((C12-D12)/D12,"")</f>
        <v>-0.0714285714285714</v>
      </c>
      <c r="F12" s="19" t="n">
        <v>1.22</v>
      </c>
      <c r="G12" s="20" t="str">
        <f aca="false">IF(E12&lt;0,IF(F12&gt;1,"CHEAP + UPGRADING","VALUE TRAP"),IF(F12&gt;1,"WORKING","VULNERABLE"))</f>
        <v>CHEAP + UPGRADING</v>
      </c>
    </row>
    <row r="13" customFormat="false" ht="15" hidden="false" customHeight="false" outlineLevel="0" collapsed="false">
      <c r="B13" s="7" t="s">
        <v>25</v>
      </c>
      <c r="C13" s="8" t="n">
        <v>18</v>
      </c>
      <c r="D13" s="8" t="n">
        <v>16.5</v>
      </c>
      <c r="E13" s="10" t="n">
        <f aca="false">IFERROR((C13-D13)/D13,"")</f>
        <v>0.0909090909090909</v>
      </c>
      <c r="F13" s="19" t="n">
        <v>1.3</v>
      </c>
      <c r="G13" s="20" t="str">
        <f aca="false">IF(E13&lt;0,IF(F13&gt;1,"CHEAP + UPGRADING","VALUE TRAP"),IF(F13&gt;1,"WORKING","VULNERABLE"))</f>
        <v>WORKING</v>
      </c>
    </row>
    <row r="14" customFormat="false" ht="15" hidden="false" customHeight="false" outlineLevel="0" collapsed="false">
      <c r="B14" s="7" t="s">
        <v>27</v>
      </c>
      <c r="C14" s="8" t="n">
        <v>17</v>
      </c>
      <c r="D14" s="8" t="n">
        <v>16</v>
      </c>
      <c r="E14" s="10" t="n">
        <f aca="false">IFERROR((C14-D14)/D14,"")</f>
        <v>0.0625</v>
      </c>
      <c r="F14" s="19" t="n">
        <v>0.95</v>
      </c>
      <c r="G14" s="20" t="str">
        <f aca="false">IF(E14&lt;0,IF(F14&gt;1,"CHEAP + UPGRADING","VALUE TRAP"),IF(F14&gt;1,"WORKING","VULNERABLE"))</f>
        <v>VULNERABLE</v>
      </c>
    </row>
    <row r="16" customFormat="false" ht="15" hidden="false" customHeight="false" outlineLevel="0" collapsed="false">
      <c r="B16" s="21" t="s">
        <v>40</v>
      </c>
    </row>
    <row r="17" customFormat="false" ht="15" hidden="false" customHeight="false" outlineLevel="0" collapsed="false">
      <c r="B17" s="22" t="s">
        <v>41</v>
      </c>
    </row>
    <row r="18" customFormat="false" ht="15" hidden="false" customHeight="false" outlineLevel="0" collapsed="false">
      <c r="B18" s="22" t="s">
        <v>42</v>
      </c>
    </row>
    <row r="19" customFormat="false" ht="15" hidden="false" customHeight="false" outlineLevel="0" collapsed="false">
      <c r="B19" s="22" t="s">
        <v>43</v>
      </c>
    </row>
    <row r="20" customFormat="false" ht="15" hidden="false" customHeight="false" outlineLevel="0" collapsed="false">
      <c r="B20" s="22" t="s">
        <v>44</v>
      </c>
    </row>
    <row r="46" customFormat="false" ht="15" hidden="false" customHeight="false" outlineLevel="0" collapsed="false">
      <c r="B46" s="12" t="s">
        <v>45</v>
      </c>
    </row>
    <row r="47" customFormat="false" ht="15" hidden="false" customHeight="false" outlineLevel="0" collapsed="false">
      <c r="B47" s="1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2026-08-09T11:52:28Z</dcterms:created>
  <dc:creator>openpyxl</dc:creator>
  <dc:description/>
  <dc:language>en-US</dc:language>
  <cp:lastModifiedBy/>
  <dcterms:modified xsi:type="dcterms:W3CDTF">2026-08-09T11:52:31Z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