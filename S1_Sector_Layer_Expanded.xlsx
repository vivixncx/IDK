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_Sector_Layer" sheetId="1" state="visible" r:id="rId3"/>
    <sheet name="FLOW_SOURCES" sheetId="2" state="visible" r:id="rId4"/>
    <sheet name="DATA_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<sst xmlns="http://schemas.openxmlformats.org/spreadsheetml/2006/main" count="200" uniqueCount="132">
  <si>
    <t xml:space="preserve">SLIDE 1 / CHART 3 — REGIONAL SECTOR LAYER</t>
  </si>
  <si>
    <t xml:space="preserve">Valuation, quality and flow across 15 baskets — China / HK / Korea / Japan / Taiwan</t>
  </si>
  <si>
    <t xml:space="preserve">Yellow = your input. Black = formula. All figures below are ILLUSTRATIVE PLACEHOLDER — replace before use.</t>
  </si>
  <si>
    <t xml:space="preserve">Basket</t>
  </si>
  <si>
    <t xml:space="preserve">Mkt</t>
  </si>
  <si>
    <t xml:space="preserve">Ticker</t>
  </si>
  <si>
    <t xml:space="preserve">Fwd P/E</t>
  </si>
  <si>
    <t xml:space="preserve">5Y avg P/E</t>
  </si>
  <si>
    <t xml:space="preserve">P/E Z</t>
  </si>
  <si>
    <t xml:space="preserve">EV/EBITDA</t>
  </si>
  <si>
    <t xml:space="preserve">P/B</t>
  </si>
  <si>
    <t xml:space="preserve">ROE</t>
  </si>
  <si>
    <t xml:space="preserve">P/B / ROE</t>
  </si>
  <si>
    <t xml:space="preserve">FCF yield</t>
  </si>
  <si>
    <t xml:space="preserve">Div yield</t>
  </si>
  <si>
    <t xml:space="preserve">Net debt/EBITDA</t>
  </si>
  <si>
    <t xml:space="preserve">FY26E EPS g</t>
  </si>
  <si>
    <t xml:space="preserve">FY27E EPS g</t>
  </si>
  <si>
    <t xml:space="preserve">2Y CAGR</t>
  </si>
  <si>
    <t xml:space="preserve">PEG</t>
  </si>
  <si>
    <t xml:space="preserve">3M rev ratio</t>
  </si>
  <si>
    <t xml:space="preserve">Flow 4wk (US$m)</t>
  </si>
  <si>
    <t xml:space="preserve">Flow 13wk (US$m)</t>
  </si>
  <si>
    <t xml:space="preserve">Flow % mcap</t>
  </si>
  <si>
    <t xml:space="preserve">Flow source</t>
  </si>
  <si>
    <t xml:space="preserve">MSCI China Industrials</t>
  </si>
  <si>
    <t xml:space="preserve">CN</t>
  </si>
  <si>
    <t xml:space="preserve">n/a</t>
  </si>
  <si>
    <t xml:space="preserve">EPFR / proxy</t>
  </si>
  <si>
    <t xml:space="preserve">MSCI China Materials</t>
  </si>
  <si>
    <t xml:space="preserve">MSCI China Utilities</t>
  </si>
  <si>
    <t xml:space="preserve">MSCI China Energy</t>
  </si>
  <si>
    <t xml:space="preserve">MSCI China Info Tech</t>
  </si>
  <si>
    <t xml:space="preserve">MSCI China Cons Disc</t>
  </si>
  <si>
    <t xml:space="preserve">CSI New Energy (399808)</t>
  </si>
  <si>
    <t xml:space="preserve">SSE STAR 50</t>
  </si>
  <si>
    <t xml:space="preserve">MSCI HK Financials</t>
  </si>
  <si>
    <t xml:space="preserve">HK</t>
  </si>
  <si>
    <t xml:space="preserve">HKEX southbound</t>
  </si>
  <si>
    <t xml:space="preserve">MSCI Korea IT</t>
  </si>
  <si>
    <t xml:space="preserve">KR</t>
  </si>
  <si>
    <t xml:space="preserve">KRX foreign net buy</t>
  </si>
  <si>
    <t xml:space="preserve">MSCI Korea Industrials</t>
  </si>
  <si>
    <t xml:space="preserve">MSCI Taiwan IT</t>
  </si>
  <si>
    <t xml:space="preserve">TW</t>
  </si>
  <si>
    <t xml:space="preserve">TWSE foreign net buy</t>
  </si>
  <si>
    <t xml:space="preserve">MSCI Taiwan ex-Tech</t>
  </si>
  <si>
    <t xml:space="preserve">MSCI Japan Industrials</t>
  </si>
  <si>
    <t xml:space="preserve">JP</t>
  </si>
  <si>
    <t xml:space="preserve">JPX by investor type</t>
  </si>
  <si>
    <t xml:space="preserve">TOPIX Electric Appliances</t>
  </si>
  <si>
    <t xml:space="preserve">MEDIAN (all baskets)</t>
  </si>
  <si>
    <t xml:space="preserve">P/E Z = premium/discount of current fwd P/E to its own 5Y average. Negative = cheap vs own history. This is the column to sort on.</t>
  </si>
  <si>
    <t xml:space="preserve">P/B / ROE = capital-efficiency-adjusted valuation. Below ~10 is cheap relative to returns generated. Cuts through pure P/E optics.</t>
  </si>
  <si>
    <t xml:space="preserve">PEG = fwd P/E divided by 2Y EPS CAGR. Below 1.0x screens as growth-at-a-reasonable-price.</t>
  </si>
  <si>
    <t xml:space="preserve">'n/a' cells are metrics that are not meaningful for that basket (e.g. EV/EBITDA and net debt for financials).</t>
  </si>
  <si>
    <t xml:space="preserve">China A-share sector flow is left blank on purpose — see the FLOW_SOURCES tab. It is the one series you cannot get cleanly.</t>
  </si>
  <si>
    <t xml:space="preserve">SECTOR-LEVEL FUND FLOW — WHAT IS ACTUALLY AVAILABLE</t>
  </si>
  <si>
    <t xml:space="preserve">Short answer: yes for Korea, Taiwan, Japan and HK southbound. No for China A-shares since Aug 2024.</t>
  </si>
  <si>
    <t xml:space="preserve">Market</t>
  </si>
  <si>
    <t xml:space="preserve">Source</t>
  </si>
  <si>
    <t xml:space="preserve">Frequency</t>
  </si>
  <si>
    <t xml:space="preserve">Cost</t>
  </si>
  <si>
    <t xml:space="preserve">Link / note</t>
  </si>
  <si>
    <t xml:space="preserve">Korea</t>
  </si>
  <si>
    <t xml:space="preserve">KRX foreign &amp; institutional net buy by sector</t>
  </si>
  <si>
    <t xml:space="preserve">Daily</t>
  </si>
  <si>
    <t xml:space="preserve">Free</t>
  </si>
  <si>
    <t xml:space="preserve">data.krx.co.kr — Market Data &gt; Investor trading. Cleanest free sector flow in the region.</t>
  </si>
  <si>
    <t xml:space="preserve">Taiwan</t>
  </si>
  <si>
    <t xml:space="preserve">TWSE foreign &amp; mainland investor net buy</t>
  </si>
  <si>
    <t xml:space="preserve">twse.com.tw — Trading &gt; Foreign &amp; Mainland Investors. Also TPEx separately for the OTC board.</t>
  </si>
  <si>
    <t xml:space="preserve">Japan</t>
  </si>
  <si>
    <t xml:space="preserve">JPX trading by type of investor</t>
  </si>
  <si>
    <t xml:space="preserve">Weekly</t>
  </si>
  <si>
    <t xml:space="preserve">jpx.co.jp — Markets &gt; Statistics &gt; Trading by Type of Investors. Sector granularity is coarser than KR/TW.</t>
  </si>
  <si>
    <t xml:space="preserve">Hong Kong</t>
  </si>
  <si>
    <t xml:space="preserve">HKEX southbound Stock Connect</t>
  </si>
  <si>
    <t xml:space="preserve">https://www.hkex.com.hk/Mutual-Market/Stock-Connect/Statistics/Historical-Daily?sc_lang=en</t>
  </si>
  <si>
    <t xml:space="preserve">HKEX southbound — monthly aggregates</t>
  </si>
  <si>
    <t xml:space="preserve">Monthly</t>
  </si>
  <si>
    <t xml:space="preserve">https://www.hkex.com.hk/Mutual-Market/Stock-Connect/Statistics/Historical-Monthly?sc_lang=en</t>
  </si>
  <si>
    <t xml:space="preserve">China A</t>
  </si>
  <si>
    <t xml:space="preserve">Northbound Stock Connect net buy</t>
  </si>
  <si>
    <t xml:space="preserve">DISCONTINUED</t>
  </si>
  <si>
    <t xml:space="preserve">Mainland regulators ended daily northbound net buy/sell disclosure from 16 Aug 2024. Quarterly holdings only.</t>
  </si>
  <si>
    <t xml:space="preserve">Northbound quarterly holdings (proxy)</t>
  </si>
  <si>
    <t xml:space="preserve">Quarterly</t>
  </si>
  <si>
    <t xml:space="preserve">HKEX / CCASS holdings. Lags badly — usable for trend, useless for a 4wk flow column.</t>
  </si>
  <si>
    <t xml:space="preserve">Onshore mutual fund sector positioning (proxy)</t>
  </si>
  <si>
    <t xml:space="preserve">Paid</t>
  </si>
  <si>
    <t xml:space="preserve">Wind / Choice. Best available substitute for northbound. Quarterly lag.</t>
  </si>
  <si>
    <t xml:space="preserve">Sector ETF AUM change (proxy)</t>
  </si>
  <si>
    <t xml:space="preserve">Wind / exchange data. Fast but only captures the ETF slice, not the whole flow.</t>
  </si>
  <si>
    <t xml:space="preserve">Cross-market</t>
  </si>
  <si>
    <t xml:space="preserve">EPFR country &amp; sector fund flows</t>
  </si>
  <si>
    <t xml:space="preserve">epfr.com — the only consistent cross-market sector series. Usually accessed via Bloomberg.</t>
  </si>
  <si>
    <t xml:space="preserve">Goldman / MS / JPM prime brokerage flow</t>
  </si>
  <si>
    <t xml:space="preserve">Broker</t>
  </si>
  <si>
    <t xml:space="preserve">Ask your sales coverage. Sector-level gross/net positioning, not fund flow — but often more decision-useful.</t>
  </si>
  <si>
    <t xml:space="preserve">RECOMMENDATION FOR THE SLIDE</t>
  </si>
  <si>
    <t xml:space="preserve">Do not put a flow column on the sector chart if China is blank — an empty cell on the market you are pitching is worse than no column.</t>
  </si>
  <si>
    <t xml:space="preserve">Two clean options:</t>
  </si>
  <si>
    <t xml:space="preserve">   1. Use flow as a SEPARATE small chart covering KR/TW/JP/HK only, framed as 'foreign positioning in North Asia'.</t>
  </si>
  <si>
    <t xml:space="preserve">   2. Use EPFR China equity fund flow at COUNTRY level (available, weekly) rather than sector level.</t>
  </si>
  <si>
    <r>
      <rPr>
        <sz val="9"/>
        <rFont val="Arial"/>
        <family val="0"/>
        <charset val="1"/>
      </rPr>
      <t xml:space="preserve">Option 2 is the stronger </t>
    </r>
    <r>
      <rPr>
        <sz val="9"/>
        <rFont val="Noto Sans CJK SC"/>
        <family val="2"/>
      </rPr>
      <t xml:space="preserve">鋪排 — </t>
    </r>
    <r>
      <rPr>
        <sz val="9"/>
        <rFont val="Arial"/>
        <family val="0"/>
        <charset val="1"/>
      </rPr>
      <t xml:space="preserve">country-level China flow turning positive supports the equity OW without you</t>
    </r>
  </si>
  <si>
    <t xml:space="preserve">having to defend a sector attribution that the data cannot actually support.</t>
  </si>
  <si>
    <t xml:space="preserve">SOURCING — VALUATION &amp; FUNDAMENTAL COLUMNS</t>
  </si>
  <si>
    <t xml:space="preserve">Column</t>
  </si>
  <si>
    <t xml:space="preserve">Where to pull</t>
  </si>
  <si>
    <t xml:space="preserve">Link</t>
  </si>
  <si>
    <t xml:space="preserve">Index constituents &amp; definitions</t>
  </si>
  <si>
    <t xml:space="preserve">MSCI sector index factsheets</t>
  </si>
  <si>
    <t xml:space="preserve">https://www.msci.com/indexes</t>
  </si>
  <si>
    <t xml:space="preserve">China Securities Index Co.</t>
  </si>
  <si>
    <t xml:space="preserve">https://www.csindex.com.cn/en</t>
  </si>
  <si>
    <t xml:space="preserve">Shanghai Stock Exchange</t>
  </si>
  <si>
    <t xml:space="preserve">https://english.sse.com.cn</t>
  </si>
  <si>
    <t xml:space="preserve">TOPIX sector series</t>
  </si>
  <si>
    <t xml:space="preserve">JPX index page</t>
  </si>
  <si>
    <t xml:space="preserve">https://www.jpx.co.jp/english/</t>
  </si>
  <si>
    <t xml:space="preserve">Fwd P/E, EV/EBITDA, P/B, ROE, FCF yield</t>
  </si>
  <si>
    <t xml:space="preserve">Bloomberg BEst / FactSet / Refinitiv consensus</t>
  </si>
  <si>
    <t xml:space="preserve">Terminal — no public equivalent at sector level</t>
  </si>
  <si>
    <t xml:space="preserve">FY26E / FY27E EPS growth</t>
  </si>
  <si>
    <t xml:space="preserve">IBES or Bloomberg consensus</t>
  </si>
  <si>
    <t xml:space="preserve">Terminal</t>
  </si>
  <si>
    <t xml:space="preserve">3M EPS revision ratio</t>
  </si>
  <si>
    <t xml:space="preserve">IBES revision counts, or Bloomberg EEO</t>
  </si>
  <si>
    <t xml:space="preserve">5Y average P/E</t>
  </si>
  <si>
    <t xml:space="preserve">Own history — same field, 5Y lookback</t>
  </si>
  <si>
    <t xml:space="preserve">Links are landing pages — verify the exact factsheet path, and confirm each index still exists and has not been rebased or discontinued before citing it on a client-facing slide.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</si>
</sst>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\x"/>
    <numFmt numFmtId="166" formatCode="0.0%"/>
    <numFmt numFmtId="167" formatCode="0.00"/>
    <numFmt numFmtId="168" formatCode="#,##0;\(#,##0\);\-"/>
    <numFmt numFmtId="169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8"/>
      <color rgb="FF0563C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vs Growth — Fwd P/E vs 2Y EPS CAGR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S1_Sector_Layer!E6</c:f>
              <c:strCache>
                <c:ptCount val="1"/>
                <c:pt idx="0">
                  <c:v>Fwd P/E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S1_Sector_Layer!$Q$7:$Q$21</c:f>
              <c:numCache>
                <c:formatCode>0.0%</c:formatCode>
                <c:ptCount val="15"/>
                <c:pt idx="0">
                  <c:v>0.13995613950713</c:v>
                </c:pt>
                <c:pt idx="1">
                  <c:v>0.0949885844153811</c:v>
                </c:pt>
                <c:pt idx="2">
                  <c:v>0.0874971264329851</c:v>
                </c:pt>
                <c:pt idx="3">
                  <c:v>0.0174969287422935</c:v>
                </c:pt>
                <c:pt idx="4">
                  <c:v>0.224744871391589</c:v>
                </c:pt>
                <c:pt idx="5">
                  <c:v>0.159956895750872</c:v>
                </c:pt>
                <c:pt idx="6">
                  <c:v>0.204906635387157</c:v>
                </c:pt>
                <c:pt idx="7">
                  <c:v>0.314534138012399</c:v>
                </c:pt>
                <c:pt idx="8">
                  <c:v>0.0674970725955177</c:v>
                </c:pt>
                <c:pt idx="9">
                  <c:v>0.238547536431283</c:v>
                </c:pt>
                <c:pt idx="10">
                  <c:v>0.129955751346043</c:v>
                </c:pt>
                <c:pt idx="11">
                  <c:v>0.194152419082254</c:v>
                </c:pt>
                <c:pt idx="12">
                  <c:v>0.0749883720301352</c:v>
                </c:pt>
                <c:pt idx="13">
                  <c:v>0.0724970862431282</c:v>
                </c:pt>
                <c:pt idx="14">
                  <c:v>0.102474489500778</c:v>
                </c:pt>
              </c:numCache>
            </c:numRef>
          </c:xVal>
          <c:yVal>
            <c:numRef>
              <c:f>S1_Sector_Layer!$E$7:$E$21</c:f>
              <c:numCache>
                <c:formatCode>0.0\x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8.5</c:v>
                </c:pt>
                <c:pt idx="4">
                  <c:v>24</c:v>
                </c:pt>
                <c:pt idx="5">
                  <c:v>15.5</c:v>
                </c:pt>
                <c:pt idx="6">
                  <c:v>17</c:v>
                </c:pt>
                <c:pt idx="7">
                  <c:v>38</c:v>
                </c:pt>
                <c:pt idx="8">
                  <c:v>10.5</c:v>
                </c:pt>
                <c:pt idx="9">
                  <c:v>13</c:v>
                </c:pt>
                <c:pt idx="10">
                  <c:v>12.5</c:v>
                </c:pt>
                <c:pt idx="11">
                  <c:v>18</c:v>
                </c:pt>
                <c:pt idx="12">
                  <c:v>14</c:v>
                </c:pt>
                <c:pt idx="13">
                  <c:v>17</c:v>
                </c:pt>
                <c:pt idx="14">
                  <c:v>19.5</c:v>
                </c:pt>
              </c:numCache>
            </c:numRef>
          </c:yVal>
          <c:smooth val="1"/>
        </c:ser>
        <c:axId val="88116064"/>
        <c:axId val="86317927"/>
      </c:scatterChart>
      <c:valAx>
        <c:axId val="881160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2Y EPS CAGR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17927"/>
        <c:crosses val="autoZero"/>
        <c:crossBetween val="midCat"/>
      </c:valAx>
      <c:valAx>
        <c:axId val="86317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Fwd P/E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160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Quality vs Valuation — ROE vs P/B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S1_Sector_Layer!I6</c:f>
              <c:strCache>
                <c:ptCount val="1"/>
                <c:pt idx="0">
                  <c:v>P/B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diamond"/>
            <c:size val="9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S1_Sector_Layer!$J$7:$J$21</c:f>
              <c:numCache>
                <c:formatCode>0.0%</c:formatCode>
                <c:ptCount val="15"/>
                <c:pt idx="0">
                  <c:v>0.115</c:v>
                </c:pt>
                <c:pt idx="1">
                  <c:v>0.095</c:v>
                </c:pt>
                <c:pt idx="2">
                  <c:v>0.105</c:v>
                </c:pt>
                <c:pt idx="3">
                  <c:v>0.115</c:v>
                </c:pt>
                <c:pt idx="4">
                  <c:v>0.13</c:v>
                </c:pt>
                <c:pt idx="5">
                  <c:v>0.145</c:v>
                </c:pt>
                <c:pt idx="6">
                  <c:v>0.14</c:v>
                </c:pt>
                <c:pt idx="7">
                  <c:v>0.09</c:v>
                </c:pt>
                <c:pt idx="8">
                  <c:v>0.1</c:v>
                </c:pt>
                <c:pt idx="9">
                  <c:v>0.125</c:v>
                </c:pt>
                <c:pt idx="10">
                  <c:v>0.105</c:v>
                </c:pt>
                <c:pt idx="11">
                  <c:v>0.22</c:v>
                </c:pt>
                <c:pt idx="12">
                  <c:v>0.12</c:v>
                </c:pt>
                <c:pt idx="13">
                  <c:v>0.115</c:v>
                </c:pt>
                <c:pt idx="14">
                  <c:v>0.13</c:v>
                </c:pt>
              </c:numCache>
            </c:numRef>
          </c:xVal>
          <c:yVal>
            <c:numRef>
              <c:f>S1_Sector_Layer!$I$7:$I$21</c:f>
              <c:numCache>
                <c:formatCode>0.0\x</c:formatCode>
                <c:ptCount val="15"/>
                <c:pt idx="0">
                  <c:v>1.6</c:v>
                </c:pt>
                <c:pt idx="1">
                  <c:v>1.15</c:v>
                </c:pt>
                <c:pt idx="2">
                  <c:v>1.35</c:v>
                </c:pt>
                <c:pt idx="3">
                  <c:v>0.95</c:v>
                </c:pt>
                <c:pt idx="4">
                  <c:v>3.1</c:v>
                </c:pt>
                <c:pt idx="5">
                  <c:v>2.2</c:v>
                </c:pt>
                <c:pt idx="6">
                  <c:v>2.4</c:v>
                </c:pt>
                <c:pt idx="7">
                  <c:v>4.2</c:v>
                </c:pt>
                <c:pt idx="8">
                  <c:v>0.95</c:v>
                </c:pt>
                <c:pt idx="9">
                  <c:v>1.45</c:v>
                </c:pt>
                <c:pt idx="10">
                  <c:v>1.2</c:v>
                </c:pt>
                <c:pt idx="11">
                  <c:v>3.4</c:v>
                </c:pt>
                <c:pt idx="12">
                  <c:v>1.6</c:v>
                </c:pt>
                <c:pt idx="13">
                  <c:v>1.85</c:v>
                </c:pt>
                <c:pt idx="14">
                  <c:v>2.3</c:v>
                </c:pt>
              </c:numCache>
            </c:numRef>
          </c:yVal>
          <c:smooth val="1"/>
        </c:ser>
        <c:axId val="3875504"/>
        <c:axId val="23434042"/>
      </c:scatterChart>
      <c:valAx>
        <c:axId val="38755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34042"/>
        <c:crosses val="autoZero"/>
        <c:crossBetween val="midCat"/>
      </c:valAx>
      <c:valAx>
        <c:axId val="23434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P/B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55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Fwd P/E Premium / Discount to Own 5Y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S1_Sector_Layer!G6</c:f>
              <c:strCache>
                <c:ptCount val="1"/>
                <c:pt idx="0">
                  <c:v>P/E Z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S1_Sector_Layer!$B$7:$B$21</c:f>
              <c:strCache>
                <c:ptCount val="15"/>
                <c:pt idx="0">
                  <c:v>MSCI China Industrials</c:v>
                </c:pt>
                <c:pt idx="1">
                  <c:v>MSCI China Materials</c:v>
                </c:pt>
                <c:pt idx="2">
                  <c:v>MSCI China Utilities</c:v>
                </c:pt>
                <c:pt idx="3">
                  <c:v>MSCI China Energy</c:v>
                </c:pt>
                <c:pt idx="4">
                  <c:v>MSCI China Info Tech</c:v>
                </c:pt>
                <c:pt idx="5">
                  <c:v>MSCI China Cons Disc</c:v>
                </c:pt>
                <c:pt idx="6">
                  <c:v>CSI New Energy (399808)</c:v>
                </c:pt>
                <c:pt idx="7">
                  <c:v>SSE STAR 50</c:v>
                </c:pt>
                <c:pt idx="8">
                  <c:v>MSCI HK Financials</c:v>
                </c:pt>
                <c:pt idx="9">
                  <c:v>MSCI Korea IT</c:v>
                </c:pt>
                <c:pt idx="10">
                  <c:v>MSCI Korea Industrials</c:v>
                </c:pt>
                <c:pt idx="11">
                  <c:v>MSCI Taiwan IT</c:v>
                </c:pt>
                <c:pt idx="12">
                  <c:v>MSCI Taiwan ex-Tech</c:v>
                </c:pt>
                <c:pt idx="13">
                  <c:v>MSCI Japan Industrials</c:v>
                </c:pt>
                <c:pt idx="14">
                  <c:v>TOPIX Electric Appliances</c:v>
                </c:pt>
              </c:strCache>
            </c:strRef>
          </c:cat>
          <c:val>
            <c:numRef>
              <c:f>S1_Sector_Layer!$G$7:$G$21</c:f>
              <c:numCache>
                <c:formatCode>0.0%</c:formatCode>
                <c:ptCount val="15"/>
                <c:pt idx="0">
                  <c:v>0.0769230769230769</c:v>
                </c:pt>
                <c:pt idx="1">
                  <c:v>-0.04</c:v>
                </c:pt>
                <c:pt idx="2">
                  <c:v>0.0833333333333333</c:v>
                </c:pt>
                <c:pt idx="3">
                  <c:v>0.0625</c:v>
                </c:pt>
                <c:pt idx="4">
                  <c:v>-0.0769230769230769</c:v>
                </c:pt>
                <c:pt idx="5">
                  <c:v>-0.138888888888889</c:v>
                </c:pt>
                <c:pt idx="6">
                  <c:v>-0.227272727272727</c:v>
                </c:pt>
                <c:pt idx="7">
                  <c:v>-0.0952380952380952</c:v>
                </c:pt>
                <c:pt idx="8">
                  <c:v>-0.0454545454545455</c:v>
                </c:pt>
                <c:pt idx="9">
                  <c:v>-0.0714285714285714</c:v>
                </c:pt>
                <c:pt idx="10">
                  <c:v>0.0869565217391304</c:v>
                </c:pt>
                <c:pt idx="11">
                  <c:v>0.0909090909090909</c:v>
                </c:pt>
                <c:pt idx="12">
                  <c:v>-0.0344827586206897</c:v>
                </c:pt>
                <c:pt idx="13">
                  <c:v>0.0625</c:v>
                </c:pt>
                <c:pt idx="14">
                  <c:v>0.0833333333333333</c:v>
                </c:pt>
              </c:numCache>
            </c:numRef>
          </c:val>
        </c:ser>
        <c:gapWidth val="150"/>
        <c:overlap val="0"/>
        <c:axId val="29537784"/>
        <c:axId val="83570326"/>
      </c:barChart>
      <c:catAx>
        <c:axId val="2953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70326"/>
        <c:crosses val="autoZero"/>
        <c:auto val="1"/>
        <c:lblAlgn val="ctr"/>
        <c:lblOffset val="100"/>
        <c:noMultiLvlLbl val="0"/>
      </c:catAx>
      <c:valAx>
        <c:axId val="83570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37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13wk Foreign Net Buy (US$m) — KR / TW / JP / HK only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S1_Sector_Layer!U6</c:f>
              <c:strCache>
                <c:ptCount val="1"/>
                <c:pt idx="0">
                  <c:v>Flow 13wk (US$m)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S1_Sector_Layer!$B$7:$B$21</c:f>
              <c:strCache>
                <c:ptCount val="15"/>
                <c:pt idx="0">
                  <c:v>MSCI China Industrials</c:v>
                </c:pt>
                <c:pt idx="1">
                  <c:v>MSCI China Materials</c:v>
                </c:pt>
                <c:pt idx="2">
                  <c:v>MSCI China Utilities</c:v>
                </c:pt>
                <c:pt idx="3">
                  <c:v>MSCI China Energy</c:v>
                </c:pt>
                <c:pt idx="4">
                  <c:v>MSCI China Info Tech</c:v>
                </c:pt>
                <c:pt idx="5">
                  <c:v>MSCI China Cons Disc</c:v>
                </c:pt>
                <c:pt idx="6">
                  <c:v>CSI New Energy (399808)</c:v>
                </c:pt>
                <c:pt idx="7">
                  <c:v>SSE STAR 50</c:v>
                </c:pt>
                <c:pt idx="8">
                  <c:v>MSCI HK Financials</c:v>
                </c:pt>
                <c:pt idx="9">
                  <c:v>MSCI Korea IT</c:v>
                </c:pt>
                <c:pt idx="10">
                  <c:v>MSCI Korea Industrials</c:v>
                </c:pt>
                <c:pt idx="11">
                  <c:v>MSCI Taiwan IT</c:v>
                </c:pt>
                <c:pt idx="12">
                  <c:v>MSCI Taiwan ex-Tech</c:v>
                </c:pt>
                <c:pt idx="13">
                  <c:v>MSCI Japan Industrials</c:v>
                </c:pt>
                <c:pt idx="14">
                  <c:v>TOPIX Electric Appliances</c:v>
                </c:pt>
              </c:strCache>
            </c:strRef>
          </c:cat>
          <c:val>
            <c:numRef>
              <c:f>S1_Sector_Layer!$U$7:$U$21</c:f>
              <c:numCache>
                <c:formatCode>#,##0;\(#,##0\);\-</c:formatCode>
                <c:ptCount val="15"/>
                <c:pt idx="8">
                  <c:v>890</c:v>
                </c:pt>
                <c:pt idx="9">
                  <c:v>3800</c:v>
                </c:pt>
                <c:pt idx="10">
                  <c:v>640</c:v>
                </c:pt>
                <c:pt idx="11">
                  <c:v>5200</c:v>
                </c:pt>
                <c:pt idx="12">
                  <c:v>-420</c:v>
                </c:pt>
                <c:pt idx="13">
                  <c:v>1500</c:v>
                </c:pt>
                <c:pt idx="14">
                  <c:v>2100</c:v>
                </c:pt>
              </c:numCache>
            </c:numRef>
          </c:val>
        </c:ser>
        <c:gapWidth val="150"/>
        <c:overlap val="0"/>
        <c:axId val="82461385"/>
        <c:axId val="14295085"/>
      </c:barChart>
      <c:catAx>
        <c:axId val="82461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95085"/>
        <c:crosses val="autoZero"/>
        <c:auto val="1"/>
        <c:lblAlgn val="ctr"/>
        <c:lblOffset val="100"/>
        <c:noMultiLvlLbl val="0"/>
      </c:catAx>
      <c:valAx>
        <c:axId val="14295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61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160560</xdr:rowOff>
    </xdr:from>
    <xdr:to>
      <xdr:col>8</xdr:col>
      <xdr:colOff>347400</xdr:colOff>
      <xdr:row>49</xdr:row>
      <xdr:rowOff>140760</xdr:rowOff>
    </xdr:to>
    <xdr:graphicFrame>
      <xdr:nvGraphicFramePr>
        <xdr:cNvPr id="0" name="Chart 1"/>
        <xdr:cNvGraphicFramePr/>
      </xdr:nvGraphicFramePr>
      <xdr:xfrm>
        <a:off x="611640" y="6095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30</xdr:row>
      <xdr:rowOff>160560</xdr:rowOff>
    </xdr:from>
    <xdr:to>
      <xdr:col>20</xdr:col>
      <xdr:colOff>770400</xdr:colOff>
      <xdr:row>49</xdr:row>
      <xdr:rowOff>140760</xdr:rowOff>
    </xdr:to>
    <xdr:graphicFrame>
      <xdr:nvGraphicFramePr>
        <xdr:cNvPr id="1" name="Chart 2"/>
        <xdr:cNvGraphicFramePr/>
      </xdr:nvGraphicFramePr>
      <xdr:xfrm>
        <a:off x="9210600" y="6095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52</xdr:row>
      <xdr:rowOff>160560</xdr:rowOff>
    </xdr:from>
    <xdr:to>
      <xdr:col>8</xdr:col>
      <xdr:colOff>347400</xdr:colOff>
      <xdr:row>73</xdr:row>
      <xdr:rowOff>119880</xdr:rowOff>
    </xdr:to>
    <xdr:graphicFrame>
      <xdr:nvGraphicFramePr>
        <xdr:cNvPr id="2" name="Chart 3"/>
        <xdr:cNvGraphicFramePr/>
      </xdr:nvGraphicFramePr>
      <xdr:xfrm>
        <a:off x="611640" y="1028700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52</xdr:row>
      <xdr:rowOff>160560</xdr:rowOff>
    </xdr:from>
    <xdr:to>
      <xdr:col>20</xdr:col>
      <xdr:colOff>770400</xdr:colOff>
      <xdr:row>73</xdr:row>
      <xdr:rowOff>119880</xdr:rowOff>
    </xdr:to>
    <xdr:graphicFrame>
      <xdr:nvGraphicFramePr>
        <xdr:cNvPr id="3" name="Chart 4"/>
        <xdr:cNvGraphicFramePr/>
      </xdr:nvGraphicFramePr>
      <xdr:xfrm>
        <a:off x="9210600" y="1028700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hkex.com.hk/Mutual-Market/Stock-Connect/Statistics/Historical-Daily?sc_lang=en" TargetMode="External"/><Relationship Id="rId2" Type="http://schemas.openxmlformats.org/officeDocument/2006/relationships/hyperlink" Target="https://www.hkex.com.hk/Mutual-Market/Stock-Connect/Statistics/Historical-Monthly?sc_lang=en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sci.com/indexes" TargetMode="External"/><Relationship Id="rId2" Type="http://schemas.openxmlformats.org/officeDocument/2006/relationships/hyperlink" Target="https://www.csindex.com.cn/en" TargetMode="External"/><Relationship Id="rId3" Type="http://schemas.openxmlformats.org/officeDocument/2006/relationships/hyperlink" Target="https://english.sse.com.cn/" TargetMode="External"/><Relationship Id="rId4" Type="http://schemas.openxmlformats.org/officeDocument/2006/relationships/hyperlink" Target="https://www.jpx.co.jp/english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12"/>
    <col collapsed="false" customWidth="true" hidden="false" outlineLevel="0" max="16" min="15" style="0" width="11"/>
    <col collapsed="false" customWidth="true" hidden="false" outlineLevel="0" max="17" min="17" style="0" width="9"/>
    <col collapsed="false" customWidth="true" hidden="false" outlineLevel="0" max="18" min="18" style="0" width="7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10"/>
    <col collapsed="false" customWidth="true" hidden="false" outlineLevel="0" max="23" min="23" style="0" width="2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0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</row>
    <row r="7" customFormat="false" ht="15" hidden="false" customHeight="false" outlineLevel="0" collapsed="false">
      <c r="B7" s="5" t="s">
        <v>25</v>
      </c>
      <c r="C7" s="6" t="s">
        <v>26</v>
      </c>
      <c r="D7" s="7"/>
      <c r="E7" s="8" t="n">
        <v>14</v>
      </c>
      <c r="F7" s="8" t="n">
        <v>13</v>
      </c>
      <c r="G7" s="9" t="n">
        <f aca="false">IFERROR((E7-F7)/F7,"")</f>
        <v>0.0769230769230769</v>
      </c>
      <c r="H7" s="8" t="n">
        <v>9</v>
      </c>
      <c r="I7" s="8" t="n">
        <v>1.6</v>
      </c>
      <c r="J7" s="10" t="n">
        <v>0.115</v>
      </c>
      <c r="K7" s="11" t="n">
        <f aca="false">IFERROR(I7/J7,"")</f>
        <v>13.9130434782609</v>
      </c>
      <c r="L7" s="10" t="n">
        <v>0.045</v>
      </c>
      <c r="M7" s="10" t="n">
        <v>0.021</v>
      </c>
      <c r="N7" s="8" t="n">
        <v>1.1</v>
      </c>
      <c r="O7" s="10" t="n">
        <v>0.15</v>
      </c>
      <c r="P7" s="10" t="n">
        <v>0.13</v>
      </c>
      <c r="Q7" s="9" t="n">
        <f aca="false">IFERROR(((1+O7)*(1+P7))^0.5-1,"")</f>
        <v>0.13995613950713</v>
      </c>
      <c r="R7" s="11" t="n">
        <f aca="false">IFERROR(E7/(Q7*100),"")</f>
        <v>1.00031338741569</v>
      </c>
      <c r="S7" s="12" t="n">
        <v>1.15</v>
      </c>
      <c r="T7" s="13" t="s">
        <v>27</v>
      </c>
      <c r="U7" s="13" t="s">
        <v>27</v>
      </c>
      <c r="V7" s="14" t="s">
        <v>27</v>
      </c>
      <c r="W7" s="15" t="s">
        <v>28</v>
      </c>
    </row>
    <row r="8" customFormat="false" ht="15" hidden="false" customHeight="false" outlineLevel="0" collapsed="false">
      <c r="B8" s="5" t="s">
        <v>29</v>
      </c>
      <c r="C8" s="6" t="s">
        <v>26</v>
      </c>
      <c r="D8" s="7"/>
      <c r="E8" s="8" t="n">
        <v>12</v>
      </c>
      <c r="F8" s="8" t="n">
        <v>12.5</v>
      </c>
      <c r="G8" s="9" t="n">
        <f aca="false">IFERROR((E8-F8)/F8,"")</f>
        <v>-0.04</v>
      </c>
      <c r="H8" s="8" t="n">
        <v>7.5</v>
      </c>
      <c r="I8" s="8" t="n">
        <v>1.15</v>
      </c>
      <c r="J8" s="10" t="n">
        <v>0.095</v>
      </c>
      <c r="K8" s="11" t="n">
        <f aca="false">IFERROR(I8/J8,"")</f>
        <v>12.1052631578947</v>
      </c>
      <c r="L8" s="10" t="n">
        <v>0.055</v>
      </c>
      <c r="M8" s="10" t="n">
        <v>0.03</v>
      </c>
      <c r="N8" s="8" t="n">
        <v>1.6</v>
      </c>
      <c r="O8" s="10" t="n">
        <v>0.1</v>
      </c>
      <c r="P8" s="10" t="n">
        <v>0.09</v>
      </c>
      <c r="Q8" s="9" t="n">
        <f aca="false">IFERROR(((1+O8)*(1+P8))^0.5-1,"")</f>
        <v>0.0949885844153811</v>
      </c>
      <c r="R8" s="11" t="n">
        <f aca="false">IFERROR(E8/(Q8*100),"")</f>
        <v>1.26330969914495</v>
      </c>
      <c r="S8" s="12" t="n">
        <v>1.02</v>
      </c>
      <c r="T8" s="13" t="s">
        <v>27</v>
      </c>
      <c r="U8" s="13" t="s">
        <v>27</v>
      </c>
      <c r="V8" s="14" t="s">
        <v>27</v>
      </c>
      <c r="W8" s="15" t="s">
        <v>28</v>
      </c>
    </row>
    <row r="9" customFormat="false" ht="15" hidden="false" customHeight="false" outlineLevel="0" collapsed="false">
      <c r="B9" s="5" t="s">
        <v>30</v>
      </c>
      <c r="C9" s="6" t="s">
        <v>26</v>
      </c>
      <c r="D9" s="7"/>
      <c r="E9" s="8" t="n">
        <v>13</v>
      </c>
      <c r="F9" s="8" t="n">
        <v>12</v>
      </c>
      <c r="G9" s="9" t="n">
        <f aca="false">IFERROR((E9-F9)/F9,"")</f>
        <v>0.0833333333333333</v>
      </c>
      <c r="H9" s="8" t="n">
        <v>8.2</v>
      </c>
      <c r="I9" s="8" t="n">
        <v>1.35</v>
      </c>
      <c r="J9" s="10" t="n">
        <v>0.105</v>
      </c>
      <c r="K9" s="11" t="n">
        <f aca="false">IFERROR(I9/J9,"")</f>
        <v>12.8571428571429</v>
      </c>
      <c r="L9" s="10" t="n">
        <v>0.06</v>
      </c>
      <c r="M9" s="10" t="n">
        <v>0.035</v>
      </c>
      <c r="N9" s="8" t="n">
        <v>3.2</v>
      </c>
      <c r="O9" s="10" t="n">
        <v>0.09</v>
      </c>
      <c r="P9" s="10" t="n">
        <v>0.085</v>
      </c>
      <c r="Q9" s="9" t="n">
        <f aca="false">IFERROR(((1+O9)*(1+P9))^0.5-1,"")</f>
        <v>0.0874971264329851</v>
      </c>
      <c r="R9" s="11" t="n">
        <f aca="false">IFERROR(E9/(Q9*100),"")</f>
        <v>1.48576307931173</v>
      </c>
      <c r="S9" s="12" t="n">
        <v>1.05</v>
      </c>
      <c r="T9" s="13" t="s">
        <v>27</v>
      </c>
      <c r="U9" s="13" t="s">
        <v>27</v>
      </c>
      <c r="V9" s="14" t="s">
        <v>27</v>
      </c>
      <c r="W9" s="15" t="s">
        <v>28</v>
      </c>
    </row>
    <row r="10" customFormat="false" ht="15" hidden="false" customHeight="false" outlineLevel="0" collapsed="false">
      <c r="B10" s="5" t="s">
        <v>31</v>
      </c>
      <c r="C10" s="6" t="s">
        <v>26</v>
      </c>
      <c r="D10" s="7"/>
      <c r="E10" s="8" t="n">
        <v>8.5</v>
      </c>
      <c r="F10" s="8" t="n">
        <v>8</v>
      </c>
      <c r="G10" s="9" t="n">
        <f aca="false">IFERROR((E10-F10)/F10,"")</f>
        <v>0.0625</v>
      </c>
      <c r="H10" s="8" t="n">
        <v>4.2</v>
      </c>
      <c r="I10" s="8" t="n">
        <v>0.95</v>
      </c>
      <c r="J10" s="10" t="n">
        <v>0.115</v>
      </c>
      <c r="K10" s="11" t="n">
        <f aca="false">IFERROR(I10/J10,"")</f>
        <v>8.26086956521739</v>
      </c>
      <c r="L10" s="10" t="n">
        <v>0.09</v>
      </c>
      <c r="M10" s="10" t="n">
        <v>0.058</v>
      </c>
      <c r="N10" s="8" t="n">
        <v>0.8</v>
      </c>
      <c r="O10" s="10" t="n">
        <v>0.02</v>
      </c>
      <c r="P10" s="10" t="n">
        <v>0.015</v>
      </c>
      <c r="Q10" s="9" t="n">
        <f aca="false">IFERROR(((1+O10)*(1+P10))^0.5-1,"")</f>
        <v>0.0174969287422935</v>
      </c>
      <c r="R10" s="11" t="n">
        <f aca="false">IFERROR(E10/(Q10*100),"")</f>
        <v>4.85799543748147</v>
      </c>
      <c r="S10" s="12" t="n">
        <v>0.92</v>
      </c>
      <c r="T10" s="13" t="s">
        <v>27</v>
      </c>
      <c r="U10" s="13" t="s">
        <v>27</v>
      </c>
      <c r="V10" s="14" t="s">
        <v>27</v>
      </c>
      <c r="W10" s="15" t="s">
        <v>28</v>
      </c>
    </row>
    <row r="11" customFormat="false" ht="15" hidden="false" customHeight="false" outlineLevel="0" collapsed="false">
      <c r="B11" s="5" t="s">
        <v>32</v>
      </c>
      <c r="C11" s="6" t="s">
        <v>26</v>
      </c>
      <c r="D11" s="7"/>
      <c r="E11" s="8" t="n">
        <v>24</v>
      </c>
      <c r="F11" s="8" t="n">
        <v>26</v>
      </c>
      <c r="G11" s="9" t="n">
        <f aca="false">IFERROR((E11-F11)/F11,"")</f>
        <v>-0.0769230769230769</v>
      </c>
      <c r="H11" s="8" t="n">
        <v>14</v>
      </c>
      <c r="I11" s="8" t="n">
        <v>3.1</v>
      </c>
      <c r="J11" s="10" t="n">
        <v>0.13</v>
      </c>
      <c r="K11" s="11" t="n">
        <f aca="false">IFERROR(I11/J11,"")</f>
        <v>23.8461538461538</v>
      </c>
      <c r="L11" s="10" t="n">
        <v>0.025</v>
      </c>
      <c r="M11" s="10" t="n">
        <v>0.008</v>
      </c>
      <c r="N11" s="8" t="n">
        <v>0.3</v>
      </c>
      <c r="O11" s="10" t="n">
        <v>0.25</v>
      </c>
      <c r="P11" s="10" t="n">
        <v>0.2</v>
      </c>
      <c r="Q11" s="9" t="n">
        <f aca="false">IFERROR(((1+O11)*(1+P11))^0.5-1,"")</f>
        <v>0.224744871391589</v>
      </c>
      <c r="R11" s="11" t="n">
        <f aca="false">IFERROR(E11/(Q11*100),"")</f>
        <v>1.06787753826796</v>
      </c>
      <c r="S11" s="12" t="n">
        <v>1.28</v>
      </c>
      <c r="T11" s="13" t="s">
        <v>27</v>
      </c>
      <c r="U11" s="13" t="s">
        <v>27</v>
      </c>
      <c r="V11" s="14" t="s">
        <v>27</v>
      </c>
      <c r="W11" s="15" t="s">
        <v>28</v>
      </c>
    </row>
    <row r="12" customFormat="false" ht="15" hidden="false" customHeight="false" outlineLevel="0" collapsed="false">
      <c r="B12" s="5" t="s">
        <v>33</v>
      </c>
      <c r="C12" s="6" t="s">
        <v>26</v>
      </c>
      <c r="D12" s="7"/>
      <c r="E12" s="8" t="n">
        <v>15.5</v>
      </c>
      <c r="F12" s="8" t="n">
        <v>18</v>
      </c>
      <c r="G12" s="9" t="n">
        <f aca="false">IFERROR((E12-F12)/F12,"")</f>
        <v>-0.138888888888889</v>
      </c>
      <c r="H12" s="8" t="n">
        <v>9.5</v>
      </c>
      <c r="I12" s="8" t="n">
        <v>2.2</v>
      </c>
      <c r="J12" s="10" t="n">
        <v>0.145</v>
      </c>
      <c r="K12" s="11" t="n">
        <f aca="false">IFERROR(I12/J12,"")</f>
        <v>15.1724137931035</v>
      </c>
      <c r="L12" s="10" t="n">
        <v>0.04</v>
      </c>
      <c r="M12" s="10" t="n">
        <v>0.015</v>
      </c>
      <c r="N12" s="8" t="n">
        <v>0.5</v>
      </c>
      <c r="O12" s="10" t="n">
        <v>0.17</v>
      </c>
      <c r="P12" s="10" t="n">
        <v>0.15</v>
      </c>
      <c r="Q12" s="9" t="n">
        <f aca="false">IFERROR(((1+O12)*(1+P12))^0.5-1,"")</f>
        <v>0.159956895750872</v>
      </c>
      <c r="R12" s="11" t="n">
        <f aca="false">IFERROR(E12/(Q12*100),"")</f>
        <v>0.969011053086498</v>
      </c>
      <c r="S12" s="12" t="n">
        <v>1.1</v>
      </c>
      <c r="T12" s="13" t="s">
        <v>27</v>
      </c>
      <c r="U12" s="13" t="s">
        <v>27</v>
      </c>
      <c r="V12" s="14" t="s">
        <v>27</v>
      </c>
      <c r="W12" s="15" t="s">
        <v>28</v>
      </c>
    </row>
    <row r="13" customFormat="false" ht="15" hidden="false" customHeight="false" outlineLevel="0" collapsed="false">
      <c r="B13" s="5" t="s">
        <v>34</v>
      </c>
      <c r="C13" s="6" t="s">
        <v>26</v>
      </c>
      <c r="D13" s="7"/>
      <c r="E13" s="8" t="n">
        <v>17</v>
      </c>
      <c r="F13" s="8" t="n">
        <v>22</v>
      </c>
      <c r="G13" s="9" t="n">
        <f aca="false">IFERROR((E13-F13)/F13,"")</f>
        <v>-0.227272727272727</v>
      </c>
      <c r="H13" s="8" t="n">
        <v>10.5</v>
      </c>
      <c r="I13" s="8" t="n">
        <v>2.4</v>
      </c>
      <c r="J13" s="10" t="n">
        <v>0.14</v>
      </c>
      <c r="K13" s="11" t="n">
        <f aca="false">IFERROR(I13/J13,"")</f>
        <v>17.1428571428571</v>
      </c>
      <c r="L13" s="10" t="n">
        <v>0.035</v>
      </c>
      <c r="M13" s="10" t="n">
        <v>0.01</v>
      </c>
      <c r="N13" s="8" t="n">
        <v>0.6</v>
      </c>
      <c r="O13" s="10" t="n">
        <v>0.22</v>
      </c>
      <c r="P13" s="10" t="n">
        <v>0.19</v>
      </c>
      <c r="Q13" s="9" t="n">
        <f aca="false">IFERROR(((1+O13)*(1+P13))^0.5-1,"")</f>
        <v>0.204906635387157</v>
      </c>
      <c r="R13" s="11" t="n">
        <f aca="false">IFERROR(E13/(Q13*100),"")</f>
        <v>0.82964614434665</v>
      </c>
      <c r="S13" s="12" t="n">
        <v>1.35</v>
      </c>
      <c r="T13" s="13" t="s">
        <v>27</v>
      </c>
      <c r="U13" s="13" t="s">
        <v>27</v>
      </c>
      <c r="V13" s="14" t="s">
        <v>27</v>
      </c>
      <c r="W13" s="15" t="s">
        <v>28</v>
      </c>
    </row>
    <row r="14" customFormat="false" ht="15" hidden="false" customHeight="false" outlineLevel="0" collapsed="false">
      <c r="B14" s="5" t="s">
        <v>35</v>
      </c>
      <c r="C14" s="6" t="s">
        <v>26</v>
      </c>
      <c r="D14" s="7"/>
      <c r="E14" s="8" t="n">
        <v>38</v>
      </c>
      <c r="F14" s="8" t="n">
        <v>42</v>
      </c>
      <c r="G14" s="9" t="n">
        <f aca="false">IFERROR((E14-F14)/F14,"")</f>
        <v>-0.0952380952380952</v>
      </c>
      <c r="H14" s="8" t="n">
        <v>22</v>
      </c>
      <c r="I14" s="8" t="n">
        <v>4.2</v>
      </c>
      <c r="J14" s="10" t="n">
        <v>0.09</v>
      </c>
      <c r="K14" s="11" t="n">
        <f aca="false">IFERROR(I14/J14,"")</f>
        <v>46.6666666666667</v>
      </c>
      <c r="L14" s="10" t="n">
        <v>0.01</v>
      </c>
      <c r="M14" s="10" t="n">
        <v>0.004</v>
      </c>
      <c r="N14" s="8" t="n">
        <v>0.2</v>
      </c>
      <c r="O14" s="10" t="n">
        <v>0.35</v>
      </c>
      <c r="P14" s="10" t="n">
        <v>0.28</v>
      </c>
      <c r="Q14" s="9" t="n">
        <f aca="false">IFERROR(((1+O14)*(1+P14))^0.5-1,"")</f>
        <v>0.314534138012399</v>
      </c>
      <c r="R14" s="11" t="n">
        <f aca="false">IFERROR(E14/(Q14*100),"")</f>
        <v>1.20813595116032</v>
      </c>
      <c r="S14" s="12" t="n">
        <v>1.4</v>
      </c>
      <c r="T14" s="13" t="s">
        <v>27</v>
      </c>
      <c r="U14" s="13" t="s">
        <v>27</v>
      </c>
      <c r="V14" s="14" t="s">
        <v>27</v>
      </c>
      <c r="W14" s="15" t="s">
        <v>28</v>
      </c>
    </row>
    <row r="15" customFormat="false" ht="15" hidden="false" customHeight="false" outlineLevel="0" collapsed="false">
      <c r="B15" s="5" t="s">
        <v>36</v>
      </c>
      <c r="C15" s="6" t="s">
        <v>37</v>
      </c>
      <c r="D15" s="7"/>
      <c r="E15" s="8" t="n">
        <v>10.5</v>
      </c>
      <c r="F15" s="8" t="n">
        <v>11</v>
      </c>
      <c r="G15" s="9" t="n">
        <f aca="false">IFERROR((E15-F15)/F15,"")</f>
        <v>-0.0454545454545455</v>
      </c>
      <c r="H15" s="16" t="s">
        <v>27</v>
      </c>
      <c r="I15" s="8" t="n">
        <v>0.95</v>
      </c>
      <c r="J15" s="10" t="n">
        <v>0.1</v>
      </c>
      <c r="K15" s="11" t="n">
        <f aca="false">IFERROR(I15/J15,"")</f>
        <v>9.5</v>
      </c>
      <c r="L15" s="10" t="n">
        <v>0.075</v>
      </c>
      <c r="M15" s="10" t="n">
        <v>0.055</v>
      </c>
      <c r="N15" s="16" t="s">
        <v>27</v>
      </c>
      <c r="O15" s="10" t="n">
        <v>0.07</v>
      </c>
      <c r="P15" s="10" t="n">
        <v>0.065</v>
      </c>
      <c r="Q15" s="9" t="n">
        <f aca="false">IFERROR(((1+O15)*(1+P15))^0.5-1,"")</f>
        <v>0.0674970725955177</v>
      </c>
      <c r="R15" s="11" t="n">
        <f aca="false">IFERROR(E15/(Q15*100),"")</f>
        <v>1.55562302130082</v>
      </c>
      <c r="S15" s="12" t="n">
        <v>0.98</v>
      </c>
      <c r="T15" s="17" t="n">
        <v>320</v>
      </c>
      <c r="U15" s="17" t="n">
        <v>890</v>
      </c>
      <c r="V15" s="18" t="n">
        <v>0.0012</v>
      </c>
      <c r="W15" s="15" t="s">
        <v>38</v>
      </c>
    </row>
    <row r="16" customFormat="false" ht="15" hidden="false" customHeight="false" outlineLevel="0" collapsed="false">
      <c r="B16" s="5" t="s">
        <v>39</v>
      </c>
      <c r="C16" s="6" t="s">
        <v>40</v>
      </c>
      <c r="D16" s="7"/>
      <c r="E16" s="8" t="n">
        <v>13</v>
      </c>
      <c r="F16" s="8" t="n">
        <v>14</v>
      </c>
      <c r="G16" s="9" t="n">
        <f aca="false">IFERROR((E16-F16)/F16,"")</f>
        <v>-0.0714285714285714</v>
      </c>
      <c r="H16" s="8" t="n">
        <v>5.5</v>
      </c>
      <c r="I16" s="8" t="n">
        <v>1.45</v>
      </c>
      <c r="J16" s="10" t="n">
        <v>0.125</v>
      </c>
      <c r="K16" s="11" t="n">
        <f aca="false">IFERROR(I16/J16,"")</f>
        <v>11.6</v>
      </c>
      <c r="L16" s="10" t="n">
        <v>0.03</v>
      </c>
      <c r="M16" s="10" t="n">
        <v>0.017</v>
      </c>
      <c r="N16" s="8" t="n">
        <v>0.1</v>
      </c>
      <c r="O16" s="10" t="n">
        <v>0.3</v>
      </c>
      <c r="P16" s="10" t="n">
        <v>0.18</v>
      </c>
      <c r="Q16" s="9" t="n">
        <f aca="false">IFERROR(((1+O16)*(1+P16))^0.5-1,"")</f>
        <v>0.238547536431283</v>
      </c>
      <c r="R16" s="11" t="n">
        <f aca="false">IFERROR(E16/(Q16*100),"")</f>
        <v>0.54496475606005</v>
      </c>
      <c r="S16" s="12" t="n">
        <v>1.22</v>
      </c>
      <c r="T16" s="17" t="n">
        <v>1450</v>
      </c>
      <c r="U16" s="17" t="n">
        <v>3800</v>
      </c>
      <c r="V16" s="18" t="n">
        <v>0.0031</v>
      </c>
      <c r="W16" s="15" t="s">
        <v>41</v>
      </c>
    </row>
    <row r="17" customFormat="false" ht="15" hidden="false" customHeight="false" outlineLevel="0" collapsed="false">
      <c r="B17" s="5" t="s">
        <v>42</v>
      </c>
      <c r="C17" s="6" t="s">
        <v>40</v>
      </c>
      <c r="D17" s="7"/>
      <c r="E17" s="8" t="n">
        <v>12.5</v>
      </c>
      <c r="F17" s="8" t="n">
        <v>11.5</v>
      </c>
      <c r="G17" s="9" t="n">
        <f aca="false">IFERROR((E17-F17)/F17,"")</f>
        <v>0.0869565217391304</v>
      </c>
      <c r="H17" s="8" t="n">
        <v>8</v>
      </c>
      <c r="I17" s="8" t="n">
        <v>1.2</v>
      </c>
      <c r="J17" s="10" t="n">
        <v>0.105</v>
      </c>
      <c r="K17" s="11" t="n">
        <f aca="false">IFERROR(I17/J17,"")</f>
        <v>11.4285714285714</v>
      </c>
      <c r="L17" s="10" t="n">
        <v>0.04</v>
      </c>
      <c r="M17" s="10" t="n">
        <v>0.022</v>
      </c>
      <c r="N17" s="8" t="n">
        <v>1.4</v>
      </c>
      <c r="O17" s="10" t="n">
        <v>0.14</v>
      </c>
      <c r="P17" s="10" t="n">
        <v>0.12</v>
      </c>
      <c r="Q17" s="9" t="n">
        <f aca="false">IFERROR(((1+O17)*(1+P17))^0.5-1,"")</f>
        <v>0.129955751346043</v>
      </c>
      <c r="R17" s="11" t="n">
        <f aca="false">IFERROR(E17/(Q17*100),"")</f>
        <v>0.961865855918552</v>
      </c>
      <c r="S17" s="12" t="n">
        <v>1.08</v>
      </c>
      <c r="T17" s="17" t="n">
        <v>210</v>
      </c>
      <c r="U17" s="17" t="n">
        <v>640</v>
      </c>
      <c r="V17" s="18" t="n">
        <v>0.0018</v>
      </c>
      <c r="W17" s="15" t="s">
        <v>41</v>
      </c>
    </row>
    <row r="18" customFormat="false" ht="15" hidden="false" customHeight="false" outlineLevel="0" collapsed="false">
      <c r="B18" s="5" t="s">
        <v>43</v>
      </c>
      <c r="C18" s="6" t="s">
        <v>44</v>
      </c>
      <c r="D18" s="7"/>
      <c r="E18" s="8" t="n">
        <v>18</v>
      </c>
      <c r="F18" s="8" t="n">
        <v>16.5</v>
      </c>
      <c r="G18" s="9" t="n">
        <f aca="false">IFERROR((E18-F18)/F18,"")</f>
        <v>0.0909090909090909</v>
      </c>
      <c r="H18" s="8" t="n">
        <v>11</v>
      </c>
      <c r="I18" s="8" t="n">
        <v>3.4</v>
      </c>
      <c r="J18" s="10" t="n">
        <v>0.22</v>
      </c>
      <c r="K18" s="11" t="n">
        <f aca="false">IFERROR(I18/J18,"")</f>
        <v>15.4545454545455</v>
      </c>
      <c r="L18" s="10" t="n">
        <v>0.035</v>
      </c>
      <c r="M18" s="10" t="n">
        <v>0.024</v>
      </c>
      <c r="N18" s="8" t="n">
        <v>0.15</v>
      </c>
      <c r="O18" s="10" t="n">
        <v>0.24</v>
      </c>
      <c r="P18" s="10" t="n">
        <v>0.15</v>
      </c>
      <c r="Q18" s="9" t="n">
        <f aca="false">IFERROR(((1+O18)*(1+P18))^0.5-1,"")</f>
        <v>0.194152419082254</v>
      </c>
      <c r="R18" s="11" t="n">
        <f aca="false">IFERROR(E18/(Q18*100),"")</f>
        <v>0.927106655950248</v>
      </c>
      <c r="S18" s="12" t="n">
        <v>1.3</v>
      </c>
      <c r="T18" s="17" t="n">
        <v>2100</v>
      </c>
      <c r="U18" s="17" t="n">
        <v>5200</v>
      </c>
      <c r="V18" s="18" t="n">
        <v>0.0026</v>
      </c>
      <c r="W18" s="15" t="s">
        <v>45</v>
      </c>
    </row>
    <row r="19" customFormat="false" ht="15" hidden="false" customHeight="false" outlineLevel="0" collapsed="false">
      <c r="B19" s="5" t="s">
        <v>46</v>
      </c>
      <c r="C19" s="6" t="s">
        <v>44</v>
      </c>
      <c r="D19" s="7"/>
      <c r="E19" s="8" t="n">
        <v>14</v>
      </c>
      <c r="F19" s="8" t="n">
        <v>14.5</v>
      </c>
      <c r="G19" s="9" t="n">
        <f aca="false">IFERROR((E19-F19)/F19,"")</f>
        <v>-0.0344827586206897</v>
      </c>
      <c r="H19" s="8" t="n">
        <v>9.5</v>
      </c>
      <c r="I19" s="8" t="n">
        <v>1.6</v>
      </c>
      <c r="J19" s="10" t="n">
        <v>0.12</v>
      </c>
      <c r="K19" s="11" t="n">
        <f aca="false">IFERROR(I19/J19,"")</f>
        <v>13.3333333333333</v>
      </c>
      <c r="L19" s="10" t="n">
        <v>0.045</v>
      </c>
      <c r="M19" s="10" t="n">
        <v>0.038</v>
      </c>
      <c r="N19" s="8" t="n">
        <v>1.2</v>
      </c>
      <c r="O19" s="10" t="n">
        <v>0.08</v>
      </c>
      <c r="P19" s="10" t="n">
        <v>0.07</v>
      </c>
      <c r="Q19" s="9" t="n">
        <f aca="false">IFERROR(((1+O19)*(1+P19))^0.5-1,"")</f>
        <v>0.0749883720301352</v>
      </c>
      <c r="R19" s="11" t="n">
        <f aca="false">IFERROR(E19/(Q19*100),"")</f>
        <v>1.86695611879318</v>
      </c>
      <c r="S19" s="12" t="n">
        <v>0.96</v>
      </c>
      <c r="T19" s="17" t="n">
        <v>-180</v>
      </c>
      <c r="U19" s="17" t="n">
        <v>-420</v>
      </c>
      <c r="V19" s="18" t="n">
        <v>-0.0009</v>
      </c>
      <c r="W19" s="15" t="s">
        <v>45</v>
      </c>
    </row>
    <row r="20" customFormat="false" ht="15" hidden="false" customHeight="false" outlineLevel="0" collapsed="false">
      <c r="B20" s="5" t="s">
        <v>47</v>
      </c>
      <c r="C20" s="6" t="s">
        <v>48</v>
      </c>
      <c r="D20" s="7"/>
      <c r="E20" s="8" t="n">
        <v>17</v>
      </c>
      <c r="F20" s="8" t="n">
        <v>16</v>
      </c>
      <c r="G20" s="9" t="n">
        <f aca="false">IFERROR((E20-F20)/F20,"")</f>
        <v>0.0625</v>
      </c>
      <c r="H20" s="8" t="n">
        <v>10</v>
      </c>
      <c r="I20" s="8" t="n">
        <v>1.85</v>
      </c>
      <c r="J20" s="10" t="n">
        <v>0.115</v>
      </c>
      <c r="K20" s="11" t="n">
        <f aca="false">IFERROR(I20/J20,"")</f>
        <v>16.0869565217391</v>
      </c>
      <c r="L20" s="10" t="n">
        <v>0.04</v>
      </c>
      <c r="M20" s="10" t="n">
        <v>0.023</v>
      </c>
      <c r="N20" s="8" t="n">
        <v>0.9</v>
      </c>
      <c r="O20" s="10" t="n">
        <v>0.075</v>
      </c>
      <c r="P20" s="10" t="n">
        <v>0.07</v>
      </c>
      <c r="Q20" s="9" t="n">
        <f aca="false">IFERROR(((1+O20)*(1+P20))^0.5-1,"")</f>
        <v>0.0724970862431282</v>
      </c>
      <c r="R20" s="11" t="n">
        <f aca="false">IFERROR(E20/(Q20*100),"")</f>
        <v>2.34492182802883</v>
      </c>
      <c r="S20" s="12" t="n">
        <v>0.95</v>
      </c>
      <c r="T20" s="17" t="n">
        <v>640</v>
      </c>
      <c r="U20" s="17" t="n">
        <v>1500</v>
      </c>
      <c r="V20" s="18" t="n">
        <v>0.0011</v>
      </c>
      <c r="W20" s="15" t="s">
        <v>49</v>
      </c>
    </row>
    <row r="21" customFormat="false" ht="15" hidden="false" customHeight="false" outlineLevel="0" collapsed="false">
      <c r="B21" s="5" t="s">
        <v>50</v>
      </c>
      <c r="C21" s="6" t="s">
        <v>48</v>
      </c>
      <c r="D21" s="7"/>
      <c r="E21" s="8" t="n">
        <v>19.5</v>
      </c>
      <c r="F21" s="8" t="n">
        <v>18</v>
      </c>
      <c r="G21" s="9" t="n">
        <f aca="false">IFERROR((E21-F21)/F21,"")</f>
        <v>0.0833333333333333</v>
      </c>
      <c r="H21" s="8" t="n">
        <v>11.5</v>
      </c>
      <c r="I21" s="8" t="n">
        <v>2.3</v>
      </c>
      <c r="J21" s="10" t="n">
        <v>0.13</v>
      </c>
      <c r="K21" s="11" t="n">
        <f aca="false">IFERROR(I21/J21,"")</f>
        <v>17.6923076923077</v>
      </c>
      <c r="L21" s="10" t="n">
        <v>0.032</v>
      </c>
      <c r="M21" s="10" t="n">
        <v>0.018</v>
      </c>
      <c r="N21" s="8" t="n">
        <v>0.4</v>
      </c>
      <c r="O21" s="10" t="n">
        <v>0.11</v>
      </c>
      <c r="P21" s="10" t="n">
        <v>0.095</v>
      </c>
      <c r="Q21" s="9" t="n">
        <f aca="false">IFERROR(((1+O21)*(1+P21))^0.5-1,"")</f>
        <v>0.102474489500778</v>
      </c>
      <c r="R21" s="11" t="n">
        <f aca="false">IFERROR(E21/(Q21*100),"")</f>
        <v>1.90291262683988</v>
      </c>
      <c r="S21" s="12" t="n">
        <v>1.05</v>
      </c>
      <c r="T21" s="17" t="n">
        <v>880</v>
      </c>
      <c r="U21" s="17" t="n">
        <v>2100</v>
      </c>
      <c r="V21" s="18" t="n">
        <v>0.0014</v>
      </c>
      <c r="W21" s="15" t="s">
        <v>49</v>
      </c>
    </row>
    <row r="22" customFormat="false" ht="15" hidden="false" customHeight="false" outlineLevel="0" collapsed="false">
      <c r="B22" s="19" t="s">
        <v>51</v>
      </c>
      <c r="C22" s="20"/>
      <c r="D22" s="20"/>
      <c r="E22" s="21" t="n">
        <f aca="false">MEDIAN(E7:E21)</f>
        <v>14</v>
      </c>
      <c r="F22" s="21" t="n">
        <f aca="false">MEDIAN(F7:F21)</f>
        <v>14.5</v>
      </c>
      <c r="G22" s="20"/>
      <c r="H22" s="21" t="n">
        <f aca="false">MEDIAN(H7:H21)</f>
        <v>9.5</v>
      </c>
      <c r="I22" s="21" t="n">
        <f aca="false">MEDIAN(I7:I21)</f>
        <v>1.6</v>
      </c>
      <c r="J22" s="22" t="n">
        <f aca="false">MEDIAN(J7:J21)</f>
        <v>0.115</v>
      </c>
      <c r="K22" s="20"/>
      <c r="L22" s="22" t="n">
        <f aca="false">MEDIAN(L7:L21)</f>
        <v>0.04</v>
      </c>
      <c r="M22" s="22" t="n">
        <f aca="false">MEDIAN(M7:M21)</f>
        <v>0.022</v>
      </c>
      <c r="N22" s="21" t="n">
        <f aca="false">MEDIAN(N7:N21)</f>
        <v>0.7</v>
      </c>
      <c r="O22" s="22" t="n">
        <f aca="false">MEDIAN(O7:O21)</f>
        <v>0.14</v>
      </c>
      <c r="P22" s="22" t="n">
        <f aca="false">MEDIAN(P7:P21)</f>
        <v>0.12</v>
      </c>
      <c r="Q22" s="20"/>
      <c r="R22" s="20"/>
      <c r="S22" s="23" t="n">
        <f aca="false">MEDIAN(S7:S21)</f>
        <v>1.08</v>
      </c>
      <c r="T22" s="20"/>
      <c r="U22" s="20"/>
      <c r="V22" s="20"/>
      <c r="W22" s="20"/>
    </row>
    <row r="24" customFormat="false" ht="15" hidden="false" customHeight="false" outlineLevel="0" collapsed="false">
      <c r="B24" s="24" t="s">
        <v>52</v>
      </c>
    </row>
    <row r="25" customFormat="false" ht="15" hidden="false" customHeight="false" outlineLevel="0" collapsed="false">
      <c r="B25" s="24" t="s">
        <v>53</v>
      </c>
    </row>
    <row r="26" customFormat="false" ht="15" hidden="false" customHeight="false" outlineLevel="0" collapsed="false">
      <c r="B26" s="24" t="s">
        <v>54</v>
      </c>
    </row>
    <row r="27" customFormat="false" ht="15" hidden="false" customHeight="false" outlineLevel="0" collapsed="false">
      <c r="B27" s="24" t="s">
        <v>55</v>
      </c>
    </row>
    <row r="28" customFormat="false" ht="15" hidden="false" customHeight="false" outlineLevel="0" collapsed="false">
      <c r="B28" s="2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62"/>
  </cols>
  <sheetData>
    <row r="2" customFormat="false" ht="17.35" hidden="false" customHeight="false" outlineLevel="0" collapsed="false">
      <c r="B2" s="1" t="s">
        <v>57</v>
      </c>
    </row>
    <row r="3" customFormat="false" ht="15" hidden="false" customHeight="false" outlineLevel="0" collapsed="false">
      <c r="B3" s="2" t="s">
        <v>58</v>
      </c>
    </row>
    <row r="5" customFormat="false" ht="15" hidden="false" customHeight="false" outlineLevel="0" collapsed="false">
      <c r="B5" s="25" t="s">
        <v>59</v>
      </c>
      <c r="C5" s="25" t="s">
        <v>60</v>
      </c>
      <c r="D5" s="25" t="s">
        <v>61</v>
      </c>
      <c r="E5" s="25" t="s">
        <v>62</v>
      </c>
      <c r="F5" s="25" t="s">
        <v>63</v>
      </c>
    </row>
    <row r="6" customFormat="false" ht="15" hidden="false" customHeight="false" outlineLevel="0" collapsed="false">
      <c r="B6" s="15" t="s">
        <v>64</v>
      </c>
      <c r="C6" s="15" t="s">
        <v>65</v>
      </c>
      <c r="D6" s="15" t="s">
        <v>66</v>
      </c>
      <c r="E6" s="15" t="s">
        <v>67</v>
      </c>
      <c r="F6" s="15" t="s">
        <v>68</v>
      </c>
    </row>
    <row r="7" customFormat="false" ht="15" hidden="false" customHeight="false" outlineLevel="0" collapsed="false">
      <c r="B7" s="15" t="s">
        <v>69</v>
      </c>
      <c r="C7" s="15" t="s">
        <v>70</v>
      </c>
      <c r="D7" s="15" t="s">
        <v>66</v>
      </c>
      <c r="E7" s="15" t="s">
        <v>67</v>
      </c>
      <c r="F7" s="15" t="s">
        <v>71</v>
      </c>
    </row>
    <row r="8" customFormat="false" ht="15" hidden="false" customHeight="false" outlineLevel="0" collapsed="false">
      <c r="B8" s="15" t="s">
        <v>72</v>
      </c>
      <c r="C8" s="15" t="s">
        <v>73</v>
      </c>
      <c r="D8" s="15" t="s">
        <v>74</v>
      </c>
      <c r="E8" s="15" t="s">
        <v>67</v>
      </c>
      <c r="F8" s="15" t="s">
        <v>75</v>
      </c>
    </row>
    <row r="9" customFormat="false" ht="15" hidden="false" customHeight="false" outlineLevel="0" collapsed="false">
      <c r="B9" s="15" t="s">
        <v>76</v>
      </c>
      <c r="C9" s="15" t="s">
        <v>77</v>
      </c>
      <c r="D9" s="15" t="s">
        <v>66</v>
      </c>
      <c r="E9" s="15" t="s">
        <v>67</v>
      </c>
      <c r="F9" s="26" t="s">
        <v>78</v>
      </c>
    </row>
    <row r="10" customFormat="false" ht="15" hidden="false" customHeight="false" outlineLevel="0" collapsed="false">
      <c r="B10" s="15" t="s">
        <v>76</v>
      </c>
      <c r="C10" s="15" t="s">
        <v>79</v>
      </c>
      <c r="D10" s="15" t="s">
        <v>80</v>
      </c>
      <c r="E10" s="15" t="s">
        <v>67</v>
      </c>
      <c r="F10" s="26" t="s">
        <v>81</v>
      </c>
    </row>
    <row r="11" customFormat="false" ht="15" hidden="false" customHeight="false" outlineLevel="0" collapsed="false">
      <c r="B11" s="27" t="s">
        <v>82</v>
      </c>
      <c r="C11" s="27" t="s">
        <v>83</v>
      </c>
      <c r="D11" s="27" t="s">
        <v>84</v>
      </c>
      <c r="E11" s="27" t="s">
        <v>27</v>
      </c>
      <c r="F11" s="27" t="s">
        <v>85</v>
      </c>
    </row>
    <row r="12" customFormat="false" ht="15" hidden="false" customHeight="false" outlineLevel="0" collapsed="false">
      <c r="B12" s="15" t="s">
        <v>82</v>
      </c>
      <c r="C12" s="15" t="s">
        <v>86</v>
      </c>
      <c r="D12" s="15" t="s">
        <v>87</v>
      </c>
      <c r="E12" s="15" t="s">
        <v>67</v>
      </c>
      <c r="F12" s="15" t="s">
        <v>88</v>
      </c>
    </row>
    <row r="13" customFormat="false" ht="15" hidden="false" customHeight="false" outlineLevel="0" collapsed="false">
      <c r="B13" s="15" t="s">
        <v>82</v>
      </c>
      <c r="C13" s="15" t="s">
        <v>89</v>
      </c>
      <c r="D13" s="15" t="s">
        <v>87</v>
      </c>
      <c r="E13" s="15" t="s">
        <v>90</v>
      </c>
      <c r="F13" s="15" t="s">
        <v>91</v>
      </c>
    </row>
    <row r="14" customFormat="false" ht="15" hidden="false" customHeight="false" outlineLevel="0" collapsed="false">
      <c r="B14" s="15" t="s">
        <v>82</v>
      </c>
      <c r="C14" s="15" t="s">
        <v>92</v>
      </c>
      <c r="D14" s="15" t="s">
        <v>66</v>
      </c>
      <c r="E14" s="15" t="s">
        <v>67</v>
      </c>
      <c r="F14" s="15" t="s">
        <v>93</v>
      </c>
    </row>
    <row r="15" customFormat="false" ht="15" hidden="false" customHeight="false" outlineLevel="0" collapsed="false">
      <c r="B15" s="15" t="s">
        <v>94</v>
      </c>
      <c r="C15" s="15" t="s">
        <v>95</v>
      </c>
      <c r="D15" s="15" t="s">
        <v>74</v>
      </c>
      <c r="E15" s="15" t="s">
        <v>90</v>
      </c>
      <c r="F15" s="15" t="s">
        <v>96</v>
      </c>
    </row>
    <row r="16" customFormat="false" ht="15" hidden="false" customHeight="false" outlineLevel="0" collapsed="false">
      <c r="B16" s="15" t="s">
        <v>94</v>
      </c>
      <c r="C16" s="15" t="s">
        <v>97</v>
      </c>
      <c r="D16" s="15" t="s">
        <v>74</v>
      </c>
      <c r="E16" s="15" t="s">
        <v>98</v>
      </c>
      <c r="F16" s="15" t="s">
        <v>99</v>
      </c>
    </row>
    <row r="19" customFormat="false" ht="15" hidden="false" customHeight="false" outlineLevel="0" collapsed="false">
      <c r="B19" s="28" t="s">
        <v>100</v>
      </c>
    </row>
    <row r="20" customFormat="false" ht="15" hidden="false" customHeight="false" outlineLevel="0" collapsed="false">
      <c r="B20" s="29" t="s">
        <v>101</v>
      </c>
    </row>
    <row r="21" customFormat="false" ht="15" hidden="false" customHeight="false" outlineLevel="0" collapsed="false">
      <c r="B21" s="30" t="s">
        <v>102</v>
      </c>
    </row>
    <row r="22" customFormat="false" ht="15" hidden="false" customHeight="false" outlineLevel="0" collapsed="false">
      <c r="B22" s="30" t="s">
        <v>103</v>
      </c>
    </row>
    <row r="23" customFormat="false" ht="15" hidden="false" customHeight="false" outlineLevel="0" collapsed="false">
      <c r="B23" s="30" t="s">
        <v>104</v>
      </c>
    </row>
    <row r="24" customFormat="false" ht="15" hidden="false" customHeight="false" outlineLevel="0" collapsed="false">
      <c r="B24" s="30" t="s">
        <v>105</v>
      </c>
    </row>
    <row r="25" customFormat="false" ht="15" hidden="false" customHeight="false" outlineLevel="0" collapsed="false">
      <c r="B25" s="30" t="s">
        <v>106</v>
      </c>
    </row>
  </sheetData>
  <hyperlinks>
    <hyperlink ref="F9" r:id="rId1" display="https://www.hkex.com.hk/Mutual-Market/Stock-Connect/Statistics/Historical-Daily?sc_lang=en"/>
    <hyperlink ref="F10" r:id="rId2" display="https://www.hkex.com.hk/Mutual-Market/Stock-Connect/Statistics/Historical-Monthly?sc_lang=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107</v>
      </c>
    </row>
    <row r="4" customFormat="false" ht="15" hidden="false" customHeight="false" outlineLevel="0" collapsed="false">
      <c r="B4" s="25" t="s">
        <v>108</v>
      </c>
      <c r="C4" s="25" t="s">
        <v>109</v>
      </c>
      <c r="D4" s="25" t="s">
        <v>110</v>
      </c>
    </row>
    <row r="5" customFormat="false" ht="15" hidden="false" customHeight="false" outlineLevel="0" collapsed="false">
      <c r="B5" s="15" t="s">
        <v>111</v>
      </c>
      <c r="C5" s="15" t="s">
        <v>112</v>
      </c>
      <c r="D5" s="26" t="s">
        <v>113</v>
      </c>
    </row>
    <row r="6" customFormat="false" ht="15" hidden="false" customHeight="false" outlineLevel="0" collapsed="false">
      <c r="B6" s="15" t="s">
        <v>34</v>
      </c>
      <c r="C6" s="15" t="s">
        <v>114</v>
      </c>
      <c r="D6" s="26" t="s">
        <v>115</v>
      </c>
    </row>
    <row r="7" customFormat="false" ht="15" hidden="false" customHeight="false" outlineLevel="0" collapsed="false">
      <c r="B7" s="15" t="s">
        <v>35</v>
      </c>
      <c r="C7" s="15" t="s">
        <v>116</v>
      </c>
      <c r="D7" s="26" t="s">
        <v>117</v>
      </c>
    </row>
    <row r="8" customFormat="false" ht="15" hidden="false" customHeight="false" outlineLevel="0" collapsed="false">
      <c r="B8" s="15" t="s">
        <v>118</v>
      </c>
      <c r="C8" s="15" t="s">
        <v>119</v>
      </c>
      <c r="D8" s="26" t="s">
        <v>120</v>
      </c>
    </row>
    <row r="9" customFormat="false" ht="15" hidden="false" customHeight="false" outlineLevel="0" collapsed="false">
      <c r="B9" s="15" t="s">
        <v>121</v>
      </c>
      <c r="C9" s="15" t="s">
        <v>122</v>
      </c>
      <c r="D9" s="15" t="s">
        <v>123</v>
      </c>
    </row>
    <row r="10" customFormat="false" ht="15" hidden="false" customHeight="false" outlineLevel="0" collapsed="false">
      <c r="B10" s="15" t="s">
        <v>124</v>
      </c>
      <c r="C10" s="15" t="s">
        <v>125</v>
      </c>
      <c r="D10" s="15" t="s">
        <v>126</v>
      </c>
    </row>
    <row r="11" customFormat="false" ht="15" hidden="false" customHeight="false" outlineLevel="0" collapsed="false">
      <c r="B11" s="15" t="s">
        <v>127</v>
      </c>
      <c r="C11" s="15" t="s">
        <v>128</v>
      </c>
      <c r="D11" s="15" t="s">
        <v>126</v>
      </c>
    </row>
    <row r="12" customFormat="false" ht="15" hidden="false" customHeight="false" outlineLevel="0" collapsed="false">
      <c r="B12" s="15" t="s">
        <v>129</v>
      </c>
      <c r="C12" s="15" t="s">
        <v>130</v>
      </c>
      <c r="D12" s="15" t="s">
        <v>126</v>
      </c>
    </row>
    <row r="15" customFormat="false" ht="15" hidden="false" customHeight="false" outlineLevel="0" collapsed="false">
      <c r="B15" s="3" t="s">
        <v>131</v>
      </c>
    </row>
  </sheetData>
  <hyperlinks>
    <hyperlink ref="D5" r:id="rId1" display="https://www.msci.com/indexes"/>
    <hyperlink ref="D6" r:id="rId2" display="https://www.csindex.com.cn/en"/>
    <hyperlink ref="D7" r:id="rId3" display="https://english.sse.com.cn"/>
    <hyperlink ref="D8" r:id="rId4" display="https://www.jpx.co.jp/english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2026-08-09T09:23:29Z</dcterms:created>
  <dc:creator>openpyxl</dc:creator>
  <dc:description/>
  <dc:language>en-US</dc:language>
  <cp:lastModifiedBy/>
  <dcterms:modified xsi:type="dcterms:W3CDTF">2026-08-09T09:23:35Z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