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1_Equities" sheetId="2" state="visible" r:id="rId4"/>
    <sheet name="S2_FixedIncome" sheetId="3" state="visible" r:id="rId5"/>
    <sheet name="S3_CrossAss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<sst xmlns="http://schemas.openxmlformats.org/spreadsheetml/2006/main" count="167" uniqueCount="147">
  <si>
    <t xml:space="preserve">ASIA CROSS-ASSET OUTLOOK — 3-SLIDE CHART PACK</t>
  </si>
  <si>
    <t xml:space="preserve">China / HK / Korea / Japan / Taiwan</t>
  </si>
  <si>
    <t xml:space="preserve">COLOUR LEGEND</t>
  </si>
  <si>
    <t xml:space="preserve">Blue text on yellow fill</t>
  </si>
  <si>
    <t xml:space="preserve">HARDCODED INPUT — replace with your own terminal data. These are the only cells you should edit.</t>
  </si>
  <si>
    <t xml:space="preserve">Black text</t>
  </si>
  <si>
    <t xml:space="preserve">Formula. Do not overwrite — it recalculates from the inputs.</t>
  </si>
  <si>
    <t xml:space="preserve">Green text</t>
  </si>
  <si>
    <t xml:space="preserve">Link to another sheet in this workbook.</t>
  </si>
  <si>
    <t xml:space="preserve">IMPORTANT — DATA STATUS</t>
  </si>
  <si>
    <t xml:space="preserve">ALL market data in this workbook is ILLUSTRATIVE PLACEHOLDER. It is NOT live market data.</t>
  </si>
  <si>
    <t xml:space="preserve">It exists so the charts render with correct shape, scale and formatting. Replace every yellow cell</t>
  </si>
  <si>
    <t xml:space="preserve">with Bloomberg / Refinitiv / FactSet pulls before this leaves your desk.</t>
  </si>
  <si>
    <t xml:space="preserve">The CATL fundamental data on the S1 sector tab IS real and sourced — see the source column.</t>
  </si>
  <si>
    <t xml:space="preserve">SHEET MAP</t>
  </si>
  <si>
    <t xml:space="preserve">S1_Equities</t>
  </si>
  <si>
    <t xml:space="preserve">Slide 1 — 3 charts: fwd P/E vs 5Y band | 3M EPS revision ratio | sector fwd P/E vs EPS growth</t>
  </si>
  <si>
    <t xml:space="preserve">S2_FixedIncome</t>
  </si>
  <si>
    <t xml:space="preserve">Slide 2 — 3 charts: 10Y real yields | BOJ OIS path vs core-core CPI | curve slope vs 5Y range</t>
  </si>
  <si>
    <t xml:space="preserve">S3_CrossAsset</t>
  </si>
  <si>
    <t xml:space="preserve">Slide 3 — ERP by market (links to S1 + S2) + OW/UW positioning table</t>
  </si>
  <si>
    <t xml:space="preserve">THESIS SPINE (do not put trade names on these 3 slides)</t>
  </si>
  <si>
    <t xml:space="preserve">S1 title: 'Valuation gap narrowing as China earnings inflect'  -&gt; sets up the equity OW</t>
  </si>
  <si>
    <t xml:space="preserve">S2 title: 'Japan the last major curve yet to normalise'        -&gt; sets up the JGB curve trade</t>
  </si>
  <si>
    <t xml:space="preserve">S3 title: 'Where the risk premium sits'                        -&gt; asset-class OW/UW only</t>
  </si>
  <si>
    <t xml:space="preserve">UNRESOLVED — READ BEFORE BUILDING</t>
  </si>
  <si>
    <t xml:space="preserve">S2 as built tells a BOJ-NORMALISATION / inflation-persistent story. That is a BEAR steepener setup</t>
  </si>
  <si>
    <t xml:space="preserve">(long end sells off). If the trade is genuinely a BULL steepener (front end rallies on dovish repricing),</t>
  </si>
  <si>
    <t xml:space="preserve">this slide contradicts it AND contradicts the constructive equity case on S1. Pin this down first:</t>
  </si>
  <si>
    <t xml:space="preserve">  - Bear steepener  -&gt; keep S2 as built. Lead with OIS vs CPI. Book reads directionally aligned.</t>
  </si>
  <si>
    <t xml:space="preserve">  - Bull steepener  -&gt; rebuild S2 on a growth-slowdown / risk-hedge spine, and label the trade a HEDGE on S3.</t>
  </si>
  <si>
    <t xml:space="preserve">SLIDE 1 — EQUITIES</t>
  </si>
  <si>
    <t xml:space="preserve">Valuation gap narrowing as China earnings inflect</t>
  </si>
  <si>
    <t xml:space="preserve">CHART 1 — 12M FORWARD P/E vs 5Y MEAN AND +/-1SD</t>
  </si>
  <si>
    <t xml:space="preserve">Index</t>
  </si>
  <si>
    <t xml:space="preserve">Current fwd P/E</t>
  </si>
  <si>
    <t xml:space="preserve">5Y mean</t>
  </si>
  <si>
    <t xml:space="preserve">5Y st.dev</t>
  </si>
  <si>
    <t xml:space="preserve">-1SD</t>
  </si>
  <si>
    <t xml:space="preserve">+1SD</t>
  </si>
  <si>
    <t xml:space="preserve">Z-score</t>
  </si>
  <si>
    <t xml:space="preserve">CSI 300</t>
  </si>
  <si>
    <t xml:space="preserve">HSCEI</t>
  </si>
  <si>
    <t xml:space="preserve">KOSPI</t>
  </si>
  <si>
    <t xml:space="preserve">TOPIX</t>
  </si>
  <si>
    <t xml:space="preserve">TWSE (MSCI Taiwan)</t>
  </si>
  <si>
    <t xml:space="preserve">Sort ascending by Z-score before it goes on the slide — China/HK land on the left and the eye reads cheap-to-expensive.</t>
  </si>
  <si>
    <t xml:space="preserve">CHART 2 — 3M EPS REVISION RATIO AND CONSENSUS EPS GROWTH</t>
  </si>
  <si>
    <t xml:space="preserve">3M revision ratio</t>
  </si>
  <si>
    <t xml:space="preserve">FY26E EPS growth</t>
  </si>
  <si>
    <t xml:space="preserve">FY27E EPS growth</t>
  </si>
  <si>
    <t xml:space="preserve">2Y CAGR</t>
  </si>
  <si>
    <t xml:space="preserve">Revision ratio = analyst upgrades / downgrades over 3M. Above 1.0 = net upgrades. Order the x-axis by this column, not alphabetically.</t>
  </si>
  <si>
    <t xml:space="preserve">CHART 3 — SECTOR LAYER: FWD P/E vs FY26E EPS GROWTH</t>
  </si>
  <si>
    <t xml:space="preserve">Sector basket</t>
  </si>
  <si>
    <t xml:space="preserve">Fwd P/E</t>
  </si>
  <si>
    <t xml:space="preserve">PEG</t>
  </si>
  <si>
    <t xml:space="preserve">Source / note</t>
  </si>
  <si>
    <t xml:space="preserve">MSCI China Industrials</t>
  </si>
  <si>
    <t xml:space="preserve">Illustrative</t>
  </si>
  <si>
    <t xml:space="preserve">MSCI China Materials</t>
  </si>
  <si>
    <t xml:space="preserve">MSCI Korea IT</t>
  </si>
  <si>
    <t xml:space="preserve">MSCI Taiwan IT</t>
  </si>
  <si>
    <t xml:space="preserve">MSCI Japan Industrials</t>
  </si>
  <si>
    <t xml:space="preserve">This is the chart that legitimises the single-name idea as a broad regional theme. Keep it sector-level — no tickers on this slide.</t>
  </si>
  <si>
    <t xml:space="preserve">SLIDE 2 — FIXED INCOME</t>
  </si>
  <si>
    <t xml:space="preserve">Japan the last major curve yet to normalise</t>
  </si>
  <si>
    <t xml:space="preserve">CHART 1 — 10Y REAL YIELD (NOMINAL LESS CORE CPI)</t>
  </si>
  <si>
    <t xml:space="preserve">Market</t>
  </si>
  <si>
    <t xml:space="preserve">10Y nominal</t>
  </si>
  <si>
    <t xml:space="preserve">Core CPI YoY</t>
  </si>
  <si>
    <t xml:space="preserve">10Y real yield</t>
  </si>
  <si>
    <t xml:space="preserve">Policy rate</t>
  </si>
  <si>
    <t xml:space="preserve">China (CGB)</t>
  </si>
  <si>
    <t xml:space="preserve">Hong Kong (HKGB)</t>
  </si>
  <si>
    <t xml:space="preserve">Korea (KTB)</t>
  </si>
  <si>
    <t xml:space="preserve">Japan (JGB)</t>
  </si>
  <si>
    <t xml:space="preserve">Taiwan (TWGB)</t>
  </si>
  <si>
    <t xml:space="preserve">Japan prints the only negative real yield of the five. That single bar plants 'Japan rates are mispriced' as a regional observation, not a trade pitch.</t>
  </si>
  <si>
    <t xml:space="preserve">CHART 2 — BOJ OIS-IMPLIED PATH vs CORE-CORE CPI</t>
  </si>
  <si>
    <t xml:space="preserve">Month</t>
  </si>
  <si>
    <t xml:space="preserve">BOJ policy rate</t>
  </si>
  <si>
    <t xml:space="preserve">OIS 1Y fwd</t>
  </si>
  <si>
    <t xml:space="preserve">Core-core CPI YoY</t>
  </si>
  <si>
    <t xml:space="preserve">Shunto (annual)</t>
  </si>
  <si>
    <t xml:space="preserve">Feb-25</t>
  </si>
  <si>
    <t xml:space="preserve">Apr-25</t>
  </si>
  <si>
    <t xml:space="preserve">Jun-25</t>
  </si>
  <si>
    <t xml:space="preserve">Aug-25</t>
  </si>
  <si>
    <t xml:space="preserve">Oct-25</t>
  </si>
  <si>
    <t xml:space="preserve">Dec-25</t>
  </si>
  <si>
    <t xml:space="preserve">Feb-26</t>
  </si>
  <si>
    <t xml:space="preserve">Apr-26</t>
  </si>
  <si>
    <t xml:space="preserve">Jun-26</t>
  </si>
  <si>
    <t xml:space="preserve">Aug-26</t>
  </si>
  <si>
    <t xml:space="preserve">Extend the rows to your full window. Shunto only prints once a year (Apr) — leave the other months blank so the line breaks rather than interpolating.</t>
  </si>
  <si>
    <t xml:space="preserve">CHART 3 — CURVE SLOPE vs 5Y RANGE</t>
  </si>
  <si>
    <t xml:space="preserve">Curve</t>
  </si>
  <si>
    <t xml:space="preserve">Current (bp)</t>
  </si>
  <si>
    <t xml:space="preserve">5Y min</t>
  </si>
  <si>
    <t xml:space="preserve">5Y max</t>
  </si>
  <si>
    <t xml:space="preserve">5Y avg</t>
  </si>
  <si>
    <t xml:space="preserve">%ile in range</t>
  </si>
  <si>
    <t xml:space="preserve">JGB 2s10s</t>
  </si>
  <si>
    <t xml:space="preserve">JGB 10s30s</t>
  </si>
  <si>
    <t xml:space="preserve">UST 2s10s</t>
  </si>
  <si>
    <t xml:space="preserve">Bund 2s10s</t>
  </si>
  <si>
    <t xml:space="preserve">KTB 3s10s</t>
  </si>
  <si>
    <t xml:space="preserve">The %ile column is the punchline — it says how much normalisation is left in each curve without you writing a sentence.</t>
  </si>
  <si>
    <t xml:space="preserve">SLIDE 3 — CROSS-ASSET BRIDGE</t>
  </si>
  <si>
    <t xml:space="preserve">Where the risk premium sits — asset-class calls only, no trade names</t>
  </si>
  <si>
    <t xml:space="preserve">CHART 1 — EQUITY RISK PREMIUM BY MARKET (earnings yield less 10Y local govt yield)</t>
  </si>
  <si>
    <t xml:space="preserve">Earnings yield</t>
  </si>
  <si>
    <t xml:space="preserve">10Y govt yield</t>
  </si>
  <si>
    <t xml:space="preserve">ERP</t>
  </si>
  <si>
    <t xml:space="preserve">10Y avg ERP</t>
  </si>
  <si>
    <t xml:space="preserve">vs avg</t>
  </si>
  <si>
    <t xml:space="preserve">China (CSI 300)</t>
  </si>
  <si>
    <t xml:space="preserve">Hong Kong (HSCEI)</t>
  </si>
  <si>
    <t xml:space="preserve">Korea (KOSPI)</t>
  </si>
  <si>
    <t xml:space="preserve">Japan (TOPIX)</t>
  </si>
  <si>
    <t xml:space="preserve">Taiwan (TWSE)</t>
  </si>
  <si>
    <t xml:space="preserve">Fwd P/E links to S1 and the 10Y links to S2 — edit the inputs there and this chart updates. Only the 10Y average ERP column is a manual input here.</t>
  </si>
  <si>
    <t xml:space="preserve">POSITIONING — ASSET CLASS LEVEL ONLY</t>
  </si>
  <si>
    <t xml:space="preserve">Asset class</t>
  </si>
  <si>
    <t xml:space="preserve">Call</t>
  </si>
  <si>
    <t xml:space="preserve">Supporting metric</t>
  </si>
  <si>
    <t xml:space="preserve">Value</t>
  </si>
  <si>
    <t xml:space="preserve">Source column</t>
  </si>
  <si>
    <t xml:space="preserve">China / HK equity</t>
  </si>
  <si>
    <t xml:space="preserve">OVERWEIGHT</t>
  </si>
  <si>
    <t xml:space="preserve">ERP vs 10Y avg (CSI 300)</t>
  </si>
  <si>
    <t xml:space="preserve">S3 ERP table</t>
  </si>
  <si>
    <t xml:space="preserve">Korea equity</t>
  </si>
  <si>
    <t xml:space="preserve">NEUTRAL</t>
  </si>
  <si>
    <t xml:space="preserve">3M EPS revision ratio</t>
  </si>
  <si>
    <t xml:space="preserve">S1 chart 2</t>
  </si>
  <si>
    <t xml:space="preserve">Taiwan equity</t>
  </si>
  <si>
    <t xml:space="preserve">Fwd P/E Z-score</t>
  </si>
  <si>
    <t xml:space="preserve">S1 chart 1</t>
  </si>
  <si>
    <t xml:space="preserve">Japan equity</t>
  </si>
  <si>
    <t xml:space="preserve">ERP vs 10Y avg (TOPIX)</t>
  </si>
  <si>
    <t xml:space="preserve">Japan duration</t>
  </si>
  <si>
    <t xml:space="preserve">UNDERWEIGHT</t>
  </si>
  <si>
    <t xml:space="preserve">S2 chart 1</t>
  </si>
  <si>
    <t xml:space="preserve">China duration</t>
  </si>
  <si>
    <t xml:space="preserve">Do NOT name CATL or the JGB trade on this slide. Asset-class calls only — the trade-idea slides that follow should feel like the conclusion, not the argument.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</si>
</sst>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\x"/>
    <numFmt numFmtId="166" formatCode="0.00"/>
    <numFmt numFmtId="167" formatCode="0.0%"/>
    <numFmt numFmtId="168" formatCode="0.00%"/>
    <numFmt numFmtId="169" formatCode="#,##0&quot; bp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D3E3B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D4A5A4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C0504D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12m Forward P/E vs 5Y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S1_Equities!C7</c:f>
              <c:strCache>
                <c:ptCount val="1"/>
                <c:pt idx="0">
                  <c:v>Current fwd P/E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S1_Equities!$B$8:$B$12</c:f>
              <c:strCache>
                <c:ptCount val="5"/>
                <c:pt idx="0">
                  <c:v>CSI 300</c:v>
                </c:pt>
                <c:pt idx="1">
                  <c:v>HSCEI</c:v>
                </c:pt>
                <c:pt idx="2">
                  <c:v>KOSPI</c:v>
                </c:pt>
                <c:pt idx="3">
                  <c:v>TOPIX</c:v>
                </c:pt>
                <c:pt idx="4">
                  <c:v>TWSE (MSCI Taiwan)</c:v>
                </c:pt>
              </c:strCache>
            </c:strRef>
          </c:cat>
          <c:val>
            <c:numRef>
              <c:f>S1_Equities!$C$8:$C$12</c:f>
              <c:numCache>
                <c:formatCode>0.0\x</c:formatCode>
                <c:ptCount val="5"/>
                <c:pt idx="0">
                  <c:v>13.5</c:v>
                </c:pt>
                <c:pt idx="1">
                  <c:v>10.5</c:v>
                </c:pt>
                <c:pt idx="2">
                  <c:v>11</c:v>
                </c:pt>
                <c:pt idx="3">
                  <c:v>16</c:v>
                </c:pt>
                <c:pt idx="4">
                  <c:v>17.5</c:v>
                </c:pt>
              </c:numCache>
            </c:numRef>
          </c:val>
        </c:ser>
        <c:ser>
          <c:idx val="1"/>
          <c:order val="1"/>
          <c:tx>
            <c:strRef>
              <c:f>S1_Equities!D7</c:f>
              <c:strCache>
                <c:ptCount val="1"/>
                <c:pt idx="0">
                  <c:v>5Y mean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S1_Equities!$B$8:$B$12</c:f>
              <c:strCache>
                <c:ptCount val="5"/>
                <c:pt idx="0">
                  <c:v>CSI 300</c:v>
                </c:pt>
                <c:pt idx="1">
                  <c:v>HSCEI</c:v>
                </c:pt>
                <c:pt idx="2">
                  <c:v>KOSPI</c:v>
                </c:pt>
                <c:pt idx="3">
                  <c:v>TOPIX</c:v>
                </c:pt>
                <c:pt idx="4">
                  <c:v>TWSE (MSCI Taiwan)</c:v>
                </c:pt>
              </c:strCache>
            </c:strRef>
          </c:cat>
          <c:val>
            <c:numRef>
              <c:f>S1_Equities!$D$8:$D$12</c:f>
              <c:numCache>
                <c:formatCode>0.0\x</c:formatCode>
                <c:ptCount val="5"/>
                <c:pt idx="0">
                  <c:v>12</c:v>
                </c:pt>
                <c:pt idx="1">
                  <c:v>9.5</c:v>
                </c:pt>
                <c:pt idx="2">
                  <c:v>10.5</c:v>
                </c:pt>
                <c:pt idx="3">
                  <c:v>14.5</c:v>
                </c:pt>
                <c:pt idx="4">
                  <c:v>15</c:v>
                </c:pt>
              </c:numCache>
            </c:numRef>
          </c:val>
        </c:ser>
        <c:ser>
          <c:idx val="2"/>
          <c:order val="2"/>
          <c:tx>
            <c:strRef>
              <c:f>S1_Equities!F7</c:f>
              <c:strCache>
                <c:ptCount val="1"/>
                <c:pt idx="0">
                  <c:v>-1SD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S1_Equities!$B$8:$B$12</c:f>
              <c:strCache>
                <c:ptCount val="5"/>
                <c:pt idx="0">
                  <c:v>CSI 300</c:v>
                </c:pt>
                <c:pt idx="1">
                  <c:v>HSCEI</c:v>
                </c:pt>
                <c:pt idx="2">
                  <c:v>KOSPI</c:v>
                </c:pt>
                <c:pt idx="3">
                  <c:v>TOPIX</c:v>
                </c:pt>
                <c:pt idx="4">
                  <c:v>TWSE (MSCI Taiwan)</c:v>
                </c:pt>
              </c:strCache>
            </c:strRef>
          </c:cat>
          <c:val>
            <c:numRef>
              <c:f>S1_Equities!$F$8:$F$12</c:f>
              <c:numCache>
                <c:formatCode>0.0\x</c:formatCode>
                <c:ptCount val="5"/>
                <c:pt idx="0">
                  <c:v>10.2</c:v>
                </c:pt>
                <c:pt idx="1">
                  <c:v>8</c:v>
                </c:pt>
                <c:pt idx="2">
                  <c:v>8.5</c:v>
                </c:pt>
                <c:pt idx="3">
                  <c:v>13.1</c:v>
                </c:pt>
                <c:pt idx="4">
                  <c:v>12.5</c:v>
                </c:pt>
              </c:numCache>
            </c:numRef>
          </c:val>
        </c:ser>
        <c:ser>
          <c:idx val="3"/>
          <c:order val="3"/>
          <c:tx>
            <c:strRef>
              <c:f>S1_Equities!G7</c:f>
              <c:strCache>
                <c:ptCount val="1"/>
                <c:pt idx="0">
                  <c:v>+1SD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S1_Equities!$B$8:$B$12</c:f>
              <c:strCache>
                <c:ptCount val="5"/>
                <c:pt idx="0">
                  <c:v>CSI 300</c:v>
                </c:pt>
                <c:pt idx="1">
                  <c:v>HSCEI</c:v>
                </c:pt>
                <c:pt idx="2">
                  <c:v>KOSPI</c:v>
                </c:pt>
                <c:pt idx="3">
                  <c:v>TOPIX</c:v>
                </c:pt>
                <c:pt idx="4">
                  <c:v>TWSE (MSCI Taiwan)</c:v>
                </c:pt>
              </c:strCache>
            </c:strRef>
          </c:cat>
          <c:val>
            <c:numRef>
              <c:f>S1_Equities!$G$8:$G$12</c:f>
              <c:numCache>
                <c:formatCode>0.0\x</c:formatCode>
                <c:ptCount val="5"/>
                <c:pt idx="0">
                  <c:v>13.8</c:v>
                </c:pt>
                <c:pt idx="1">
                  <c:v>11</c:v>
                </c:pt>
                <c:pt idx="2">
                  <c:v>12.5</c:v>
                </c:pt>
                <c:pt idx="3">
                  <c:v>15.9</c:v>
                </c:pt>
                <c:pt idx="4">
                  <c:v>17.5</c:v>
                </c:pt>
              </c:numCache>
            </c:numRef>
          </c:val>
        </c:ser>
        <c:gapWidth val="150"/>
        <c:overlap val="0"/>
        <c:axId val="80686252"/>
        <c:axId val="96495510"/>
      </c:barChart>
      <c:catAx>
        <c:axId val="80686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95510"/>
        <c:crosses val="autoZero"/>
        <c:auto val="1"/>
        <c:lblAlgn val="ctr"/>
        <c:lblOffset val="100"/>
        <c:noMultiLvlLbl val="0"/>
      </c:catAx>
      <c:valAx>
        <c:axId val="96495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86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3M EPS Revision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S1_Equities!C17</c:f>
              <c:strCache>
                <c:ptCount val="1"/>
                <c:pt idx="0">
                  <c:v>3M revision ratio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S1_Equities!$B$18:$B$22</c:f>
              <c:strCache>
                <c:ptCount val="5"/>
                <c:pt idx="0">
                  <c:v>CSI 300</c:v>
                </c:pt>
                <c:pt idx="1">
                  <c:v>HSCEI</c:v>
                </c:pt>
                <c:pt idx="2">
                  <c:v>KOSPI</c:v>
                </c:pt>
                <c:pt idx="3">
                  <c:v>TOPIX</c:v>
                </c:pt>
                <c:pt idx="4">
                  <c:v>TWSE (MSCI Taiwan)</c:v>
                </c:pt>
              </c:strCache>
            </c:strRef>
          </c:cat>
          <c:val>
            <c:numRef>
              <c:f>S1_Equities!$C$18:$C$22</c:f>
              <c:numCache>
                <c:formatCode>0.00</c:formatCode>
                <c:ptCount val="5"/>
                <c:pt idx="0">
                  <c:v>1.15</c:v>
                </c:pt>
                <c:pt idx="1">
                  <c:v>1.08</c:v>
                </c:pt>
                <c:pt idx="2">
                  <c:v>1.22</c:v>
                </c:pt>
                <c:pt idx="3">
                  <c:v>0.95</c:v>
                </c:pt>
                <c:pt idx="4">
                  <c:v>1.3</c:v>
                </c:pt>
              </c:numCache>
            </c:numRef>
          </c:val>
        </c:ser>
        <c:gapWidth val="150"/>
        <c:overlap val="0"/>
        <c:axId val="66240686"/>
        <c:axId val="44389599"/>
      </c:barChart>
      <c:catAx>
        <c:axId val="66240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89599"/>
        <c:crosses val="autoZero"/>
        <c:auto val="1"/>
        <c:lblAlgn val="ctr"/>
        <c:lblOffset val="100"/>
        <c:noMultiLvlLbl val="0"/>
      </c:catAx>
      <c:valAx>
        <c:axId val="44389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406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Fwd P/E vs FY26E EPS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S1_Equities!C27</c:f>
              <c:strCache>
                <c:ptCount val="1"/>
                <c:pt idx="0">
                  <c:v>Fwd P/E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S1_Equities!$D$28:$D$32</c:f>
              <c:numCache>
                <c:formatCode>0.0%</c:formatCode>
                <c:ptCount val="5"/>
                <c:pt idx="0">
                  <c:v>0.15</c:v>
                </c:pt>
                <c:pt idx="1">
                  <c:v>0.1</c:v>
                </c:pt>
                <c:pt idx="2">
                  <c:v>0.3</c:v>
                </c:pt>
                <c:pt idx="3">
                  <c:v>0.24</c:v>
                </c:pt>
                <c:pt idx="4">
                  <c:v>0.075</c:v>
                </c:pt>
              </c:numCache>
            </c:numRef>
          </c:xVal>
          <c:yVal>
            <c:numRef>
              <c:f>S1_Equities!$C$28:$C$32</c:f>
              <c:numCache>
                <c:formatCode>0.0\x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18</c:v>
                </c:pt>
                <c:pt idx="4">
                  <c:v>17</c:v>
                </c:pt>
              </c:numCache>
            </c:numRef>
          </c:yVal>
          <c:smooth val="1"/>
        </c:ser>
        <c:axId val="50987951"/>
        <c:axId val="1309185"/>
      </c:scatterChart>
      <c:valAx>
        <c:axId val="509879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FY26E EPS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9185"/>
        <c:crosses val="autoZero"/>
        <c:crossBetween val="midCat"/>
      </c:valAx>
      <c:valAx>
        <c:axId val="1309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Fwd 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879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10Y Real Yield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S2_FixedIncome!E7</c:f>
              <c:strCache>
                <c:ptCount val="1"/>
                <c:pt idx="0">
                  <c:v>10Y real yield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S2_FixedIncome!$B$8:$B$12</c:f>
              <c:strCache>
                <c:ptCount val="5"/>
                <c:pt idx="0">
                  <c:v>China (CGB)</c:v>
                </c:pt>
                <c:pt idx="1">
                  <c:v>Hong Kong (HKGB)</c:v>
                </c:pt>
                <c:pt idx="2">
                  <c:v>Korea (KTB)</c:v>
                </c:pt>
                <c:pt idx="3">
                  <c:v>Japan (JGB)</c:v>
                </c:pt>
                <c:pt idx="4">
                  <c:v>Taiwan (TWGB)</c:v>
                </c:pt>
              </c:strCache>
            </c:strRef>
          </c:cat>
          <c:val>
            <c:numRef>
              <c:f>S2_FixedIncome!$E$8:$E$12</c:f>
              <c:numCache>
                <c:formatCode>0.00%</c:formatCode>
                <c:ptCount val="5"/>
                <c:pt idx="0">
                  <c:v>0.014</c:v>
                </c:pt>
                <c:pt idx="1">
                  <c:v>0.019</c:v>
                </c:pt>
                <c:pt idx="2">
                  <c:v>0.011</c:v>
                </c:pt>
                <c:pt idx="3">
                  <c:v>-0.006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7746554"/>
        <c:axId val="80231362"/>
      </c:barChart>
      <c:catAx>
        <c:axId val="577465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31362"/>
        <c:crosses val="autoZero"/>
        <c:auto val="1"/>
        <c:lblAlgn val="ctr"/>
        <c:lblOffset val="100"/>
        <c:noMultiLvlLbl val="0"/>
      </c:catAx>
      <c:valAx>
        <c:axId val="80231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465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BOJ Pricing vs Inflation Persistence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S2_FixedIncome!C17</c:f>
              <c:strCache>
                <c:ptCount val="1"/>
                <c:pt idx="0">
                  <c:v>BOJ policy rate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S2_FixedIncome!$B$18:$B$27</c:f>
              <c:strCache>
                <c:ptCount val="10"/>
                <c:pt idx="0">
                  <c:v>Feb-25</c:v>
                </c:pt>
                <c:pt idx="1">
                  <c:v>Apr-25</c:v>
                </c:pt>
                <c:pt idx="2">
                  <c:v>Jun-25</c:v>
                </c:pt>
                <c:pt idx="3">
                  <c:v>Aug-25</c:v>
                </c:pt>
                <c:pt idx="4">
                  <c:v>Oct-25</c:v>
                </c:pt>
                <c:pt idx="5">
                  <c:v>Dec-25</c:v>
                </c:pt>
                <c:pt idx="6">
                  <c:v>Feb-26</c:v>
                </c:pt>
                <c:pt idx="7">
                  <c:v>Apr-26</c:v>
                </c:pt>
                <c:pt idx="8">
                  <c:v>Jun-26</c:v>
                </c:pt>
                <c:pt idx="9">
                  <c:v>Aug-26</c:v>
                </c:pt>
              </c:strCache>
            </c:strRef>
          </c:cat>
          <c:val>
            <c:numRef>
              <c:f>S2_FixedIncome!$C$18:$C$27</c:f>
              <c:numCache>
                <c:formatCode>0.00%</c:formatCode>
                <c:ptCount val="10"/>
                <c:pt idx="0">
                  <c:v>0.005</c:v>
                </c:pt>
                <c:pt idx="1">
                  <c:v>0.005</c:v>
                </c:pt>
                <c:pt idx="2">
                  <c:v>0.005</c:v>
                </c:pt>
                <c:pt idx="3">
                  <c:v>0.005</c:v>
                </c:pt>
                <c:pt idx="4">
                  <c:v>0.005</c:v>
                </c:pt>
                <c:pt idx="5">
                  <c:v>0.005</c:v>
                </c:pt>
                <c:pt idx="6">
                  <c:v>0.0075</c:v>
                </c:pt>
                <c:pt idx="7">
                  <c:v>0.0075</c:v>
                </c:pt>
                <c:pt idx="8">
                  <c:v>0.0075</c:v>
                </c:pt>
                <c:pt idx="9">
                  <c:v>0.0075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S2_FixedIncome!D17</c:f>
              <c:strCache>
                <c:ptCount val="1"/>
                <c:pt idx="0">
                  <c:v>OIS 1Y fwd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S2_FixedIncome!$B$18:$B$27</c:f>
              <c:strCache>
                <c:ptCount val="10"/>
                <c:pt idx="0">
                  <c:v>Feb-25</c:v>
                </c:pt>
                <c:pt idx="1">
                  <c:v>Apr-25</c:v>
                </c:pt>
                <c:pt idx="2">
                  <c:v>Jun-25</c:v>
                </c:pt>
                <c:pt idx="3">
                  <c:v>Aug-25</c:v>
                </c:pt>
                <c:pt idx="4">
                  <c:v>Oct-25</c:v>
                </c:pt>
                <c:pt idx="5">
                  <c:v>Dec-25</c:v>
                </c:pt>
                <c:pt idx="6">
                  <c:v>Feb-26</c:v>
                </c:pt>
                <c:pt idx="7">
                  <c:v>Apr-26</c:v>
                </c:pt>
                <c:pt idx="8">
                  <c:v>Jun-26</c:v>
                </c:pt>
                <c:pt idx="9">
                  <c:v>Aug-26</c:v>
                </c:pt>
              </c:strCache>
            </c:strRef>
          </c:cat>
          <c:val>
            <c:numRef>
              <c:f>S2_FixedIncome!$D$18:$D$27</c:f>
              <c:numCache>
                <c:formatCode>0.00%</c:formatCode>
                <c:ptCount val="10"/>
                <c:pt idx="0">
                  <c:v>0.0075</c:v>
                </c:pt>
                <c:pt idx="1">
                  <c:v>0.008</c:v>
                </c:pt>
                <c:pt idx="2">
                  <c:v>0.0085</c:v>
                </c:pt>
                <c:pt idx="3">
                  <c:v>0.009</c:v>
                </c:pt>
                <c:pt idx="4">
                  <c:v>0.0095</c:v>
                </c:pt>
                <c:pt idx="5">
                  <c:v>0.01</c:v>
                </c:pt>
                <c:pt idx="6">
                  <c:v>0.011</c:v>
                </c:pt>
                <c:pt idx="7">
                  <c:v>0.0115</c:v>
                </c:pt>
                <c:pt idx="8">
                  <c:v>0.012</c:v>
                </c:pt>
                <c:pt idx="9">
                  <c:v>0.0125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S2_FixedIncome!E17</c:f>
              <c:strCache>
                <c:ptCount val="1"/>
                <c:pt idx="0">
                  <c:v>Core-core CPI YoY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S2_FixedIncome!$B$18:$B$27</c:f>
              <c:strCache>
                <c:ptCount val="10"/>
                <c:pt idx="0">
                  <c:v>Feb-25</c:v>
                </c:pt>
                <c:pt idx="1">
                  <c:v>Apr-25</c:v>
                </c:pt>
                <c:pt idx="2">
                  <c:v>Jun-25</c:v>
                </c:pt>
                <c:pt idx="3">
                  <c:v>Aug-25</c:v>
                </c:pt>
                <c:pt idx="4">
                  <c:v>Oct-25</c:v>
                </c:pt>
                <c:pt idx="5">
                  <c:v>Dec-25</c:v>
                </c:pt>
                <c:pt idx="6">
                  <c:v>Feb-26</c:v>
                </c:pt>
                <c:pt idx="7">
                  <c:v>Apr-26</c:v>
                </c:pt>
                <c:pt idx="8">
                  <c:v>Jun-26</c:v>
                </c:pt>
                <c:pt idx="9">
                  <c:v>Aug-26</c:v>
                </c:pt>
              </c:strCache>
            </c:strRef>
          </c:cat>
          <c:val>
            <c:numRef>
              <c:f>S2_FixedIncome!$E$18:$E$27</c:f>
              <c:numCache>
                <c:formatCode>0.00%</c:formatCode>
                <c:ptCount val="10"/>
                <c:pt idx="0">
                  <c:v>0.025</c:v>
                </c:pt>
                <c:pt idx="1">
                  <c:v>0.0255</c:v>
                </c:pt>
                <c:pt idx="2">
                  <c:v>0.026</c:v>
                </c:pt>
                <c:pt idx="3">
                  <c:v>0.0258</c:v>
                </c:pt>
                <c:pt idx="4">
                  <c:v>0.0262</c:v>
                </c:pt>
                <c:pt idx="5">
                  <c:v>0.0265</c:v>
                </c:pt>
                <c:pt idx="6">
                  <c:v>0.0268</c:v>
                </c:pt>
                <c:pt idx="7">
                  <c:v>0.027</c:v>
                </c:pt>
                <c:pt idx="8">
                  <c:v>0.0262</c:v>
                </c:pt>
                <c:pt idx="9">
                  <c:v>0.0255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716935"/>
        <c:axId val="46769673"/>
      </c:lineChart>
      <c:catAx>
        <c:axId val="74716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9673"/>
        <c:crosses val="autoZero"/>
        <c:auto val="1"/>
        <c:lblAlgn val="ctr"/>
        <c:lblOffset val="100"/>
        <c:noMultiLvlLbl val="0"/>
      </c:catAx>
      <c:valAx>
        <c:axId val="467696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16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Curve Slope vs 5Y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S2_FixedIncome!C33</c:f>
              <c:strCache>
                <c:ptCount val="1"/>
                <c:pt idx="0">
                  <c:v>Current (bp)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S2_FixedIncome!$B$34:$B$38</c:f>
              <c:strCache>
                <c:ptCount val="5"/>
                <c:pt idx="0">
                  <c:v>JGB 2s10s</c:v>
                </c:pt>
                <c:pt idx="1">
                  <c:v>JGB 10s30s</c:v>
                </c:pt>
                <c:pt idx="2">
                  <c:v>UST 2s10s</c:v>
                </c:pt>
                <c:pt idx="3">
                  <c:v>Bund 2s10s</c:v>
                </c:pt>
                <c:pt idx="4">
                  <c:v>KTB 3s10s</c:v>
                </c:pt>
              </c:strCache>
            </c:strRef>
          </c:cat>
          <c:val>
            <c:numRef>
              <c:f>S2_FixedIncome!$C$34:$C$38</c:f>
              <c:numCache>
                <c:formatCode>#,##0" bp"</c:formatCode>
                <c:ptCount val="5"/>
                <c:pt idx="0">
                  <c:v>90</c:v>
                </c:pt>
                <c:pt idx="1">
                  <c:v>100</c:v>
                </c:pt>
                <c:pt idx="2">
                  <c:v>55</c:v>
                </c:pt>
                <c:pt idx="3">
                  <c:v>75</c:v>
                </c:pt>
                <c:pt idx="4">
                  <c:v>40</c:v>
                </c:pt>
              </c:numCache>
            </c:numRef>
          </c:val>
        </c:ser>
        <c:ser>
          <c:idx val="1"/>
          <c:order val="1"/>
          <c:tx>
            <c:strRef>
              <c:f>S2_FixedIncome!D33</c:f>
              <c:strCache>
                <c:ptCount val="1"/>
                <c:pt idx="0">
                  <c:v>5Y min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S2_FixedIncome!$B$34:$B$38</c:f>
              <c:strCache>
                <c:ptCount val="5"/>
                <c:pt idx="0">
                  <c:v>JGB 2s10s</c:v>
                </c:pt>
                <c:pt idx="1">
                  <c:v>JGB 10s30s</c:v>
                </c:pt>
                <c:pt idx="2">
                  <c:v>UST 2s10s</c:v>
                </c:pt>
                <c:pt idx="3">
                  <c:v>Bund 2s10s</c:v>
                </c:pt>
                <c:pt idx="4">
                  <c:v>KTB 3s10s</c:v>
                </c:pt>
              </c:strCache>
            </c:strRef>
          </c:cat>
          <c:val>
            <c:numRef>
              <c:f>S2_FixedIncome!$D$34:$D$38</c:f>
              <c:numCache>
                <c:formatCode>#,##0" bp"</c:formatCode>
                <c:ptCount val="5"/>
                <c:pt idx="0">
                  <c:v>5</c:v>
                </c:pt>
                <c:pt idx="1">
                  <c:v>40</c:v>
                </c:pt>
                <c:pt idx="2">
                  <c:v>-108</c:v>
                </c:pt>
                <c:pt idx="3">
                  <c:v>-75</c:v>
                </c:pt>
                <c:pt idx="4">
                  <c:v>-20</c:v>
                </c:pt>
              </c:numCache>
            </c:numRef>
          </c:val>
        </c:ser>
        <c:ser>
          <c:idx val="2"/>
          <c:order val="2"/>
          <c:tx>
            <c:strRef>
              <c:f>S2_FixedIncome!E33</c:f>
              <c:strCache>
                <c:ptCount val="1"/>
                <c:pt idx="0">
                  <c:v>5Y max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S2_FixedIncome!$B$34:$B$38</c:f>
              <c:strCache>
                <c:ptCount val="5"/>
                <c:pt idx="0">
                  <c:v>JGB 2s10s</c:v>
                </c:pt>
                <c:pt idx="1">
                  <c:v>JGB 10s30s</c:v>
                </c:pt>
                <c:pt idx="2">
                  <c:v>UST 2s10s</c:v>
                </c:pt>
                <c:pt idx="3">
                  <c:v>Bund 2s10s</c:v>
                </c:pt>
                <c:pt idx="4">
                  <c:v>KTB 3s10s</c:v>
                </c:pt>
              </c:strCache>
            </c:strRef>
          </c:cat>
          <c:val>
            <c:numRef>
              <c:f>S2_FixedIncome!$E$34:$E$38</c:f>
              <c:numCache>
                <c:formatCode>#,##0" bp"</c:formatCode>
                <c:ptCount val="5"/>
                <c:pt idx="0">
                  <c:v>130</c:v>
                </c:pt>
                <c:pt idx="1">
                  <c:v>165</c:v>
                </c:pt>
                <c:pt idx="2">
                  <c:v>160</c:v>
                </c:pt>
                <c:pt idx="3">
                  <c:v>100</c:v>
                </c:pt>
                <c:pt idx="4">
                  <c:v>95</c:v>
                </c:pt>
              </c:numCache>
            </c:numRef>
          </c:val>
        </c:ser>
        <c:ser>
          <c:idx val="3"/>
          <c:order val="3"/>
          <c:tx>
            <c:strRef>
              <c:f>S2_FixedIncome!F33</c:f>
              <c:strCache>
                <c:ptCount val="1"/>
                <c:pt idx="0">
                  <c:v>5Y avg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S2_FixedIncome!$B$34:$B$38</c:f>
              <c:strCache>
                <c:ptCount val="5"/>
                <c:pt idx="0">
                  <c:v>JGB 2s10s</c:v>
                </c:pt>
                <c:pt idx="1">
                  <c:v>JGB 10s30s</c:v>
                </c:pt>
                <c:pt idx="2">
                  <c:v>UST 2s10s</c:v>
                </c:pt>
                <c:pt idx="3">
                  <c:v>Bund 2s10s</c:v>
                </c:pt>
                <c:pt idx="4">
                  <c:v>KTB 3s10s</c:v>
                </c:pt>
              </c:strCache>
            </c:strRef>
          </c:cat>
          <c:val>
            <c:numRef>
              <c:f>S2_FixedIncome!$F$34:$F$38</c:f>
              <c:numCache>
                <c:formatCode>#,##0" bp"</c:formatCode>
                <c:ptCount val="5"/>
                <c:pt idx="0">
                  <c:v>62</c:v>
                </c:pt>
                <c:pt idx="1">
                  <c:v>95</c:v>
                </c:pt>
                <c:pt idx="2">
                  <c:v>20</c:v>
                </c:pt>
                <c:pt idx="3">
                  <c:v>15</c:v>
                </c:pt>
                <c:pt idx="4">
                  <c:v>32</c:v>
                </c:pt>
              </c:numCache>
            </c:numRef>
          </c:val>
        </c:ser>
        <c:gapWidth val="150"/>
        <c:overlap val="0"/>
        <c:axId val="43106852"/>
        <c:axId val="74735682"/>
      </c:barChart>
      <c:catAx>
        <c:axId val="43106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35682"/>
        <c:crosses val="autoZero"/>
        <c:auto val="1"/>
        <c:lblAlgn val="ctr"/>
        <c:lblOffset val="100"/>
        <c:noMultiLvlLbl val="0"/>
      </c:catAx>
      <c:valAx>
        <c:axId val="74735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bp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06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Risk Premium vs 10Y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S3_CrossAsset!F7</c:f>
              <c:strCache>
                <c:ptCount val="1"/>
                <c:pt idx="0">
                  <c:v>ERP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S3_CrossAsset!$B$8:$B$12</c:f>
              <c:strCache>
                <c:ptCount val="5"/>
                <c:pt idx="0">
                  <c:v>China (CSI 300)</c:v>
                </c:pt>
                <c:pt idx="1">
                  <c:v>Hong Kong (HSCEI)</c:v>
                </c:pt>
                <c:pt idx="2">
                  <c:v>Korea (KOSPI)</c:v>
                </c:pt>
                <c:pt idx="3">
                  <c:v>Japan (TOPIX)</c:v>
                </c:pt>
                <c:pt idx="4">
                  <c:v>Taiwan (TWSE)</c:v>
                </c:pt>
              </c:strCache>
            </c:strRef>
          </c:cat>
          <c:val>
            <c:numRef>
              <c:f>S3_CrossAsset!$F$8:$F$12</c:f>
              <c:numCache>
                <c:formatCode>0.00%</c:formatCode>
                <c:ptCount val="5"/>
                <c:pt idx="0">
                  <c:v>0.0550740740740741</c:v>
                </c:pt>
                <c:pt idx="1">
                  <c:v>0.0612380952380952</c:v>
                </c:pt>
                <c:pt idx="2">
                  <c:v>0.0599090909090909</c:v>
                </c:pt>
                <c:pt idx="3">
                  <c:v>0.0435</c:v>
                </c:pt>
                <c:pt idx="4">
                  <c:v>0.0411428571428571</c:v>
                </c:pt>
              </c:numCache>
            </c:numRef>
          </c:val>
        </c:ser>
        <c:ser>
          <c:idx val="1"/>
          <c:order val="1"/>
          <c:tx>
            <c:strRef>
              <c:f>S3_CrossAsset!G7</c:f>
              <c:strCache>
                <c:ptCount val="1"/>
                <c:pt idx="0">
                  <c:v>10Y avg ERP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S3_CrossAsset!$B$8:$B$12</c:f>
              <c:strCache>
                <c:ptCount val="5"/>
                <c:pt idx="0">
                  <c:v>China (CSI 300)</c:v>
                </c:pt>
                <c:pt idx="1">
                  <c:v>Hong Kong (HSCEI)</c:v>
                </c:pt>
                <c:pt idx="2">
                  <c:v>Korea (KOSPI)</c:v>
                </c:pt>
                <c:pt idx="3">
                  <c:v>Japan (TOPIX)</c:v>
                </c:pt>
                <c:pt idx="4">
                  <c:v>Taiwan (TWSE)</c:v>
                </c:pt>
              </c:strCache>
            </c:strRef>
          </c:cat>
          <c:val>
            <c:numRef>
              <c:f>S3_CrossAsset!$G$8:$G$12</c:f>
              <c:numCache>
                <c:formatCode>0.00%</c:formatCode>
                <c:ptCount val="5"/>
                <c:pt idx="0">
                  <c:v>0.048</c:v>
                </c:pt>
                <c:pt idx="1">
                  <c:v>0.062</c:v>
                </c:pt>
                <c:pt idx="2">
                  <c:v>0.051</c:v>
                </c:pt>
                <c:pt idx="3">
                  <c:v>0.043</c:v>
                </c:pt>
                <c:pt idx="4">
                  <c:v>0.035</c:v>
                </c:pt>
              </c:numCache>
            </c:numRef>
          </c:val>
        </c:ser>
        <c:gapWidth val="150"/>
        <c:overlap val="0"/>
        <c:axId val="94734618"/>
        <c:axId val="33851685"/>
      </c:barChart>
      <c:catAx>
        <c:axId val="94734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51685"/>
        <c:crosses val="autoZero"/>
        <c:auto val="1"/>
        <c:lblAlgn val="ctr"/>
        <c:lblOffset val="100"/>
        <c:noMultiLvlLbl val="0"/>
      </c:catAx>
      <c:valAx>
        <c:axId val="33851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34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160560</xdr:rowOff>
    </xdr:from>
    <xdr:to>
      <xdr:col>18</xdr:col>
      <xdr:colOff>255960</xdr:colOff>
      <xdr:row>18</xdr:row>
      <xdr:rowOff>186840</xdr:rowOff>
    </xdr:to>
    <xdr:graphicFrame>
      <xdr:nvGraphicFramePr>
        <xdr:cNvPr id="0" name="Chart 1"/>
        <xdr:cNvGraphicFramePr/>
      </xdr:nvGraphicFramePr>
      <xdr:xfrm>
        <a:off x="782388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164520</xdr:rowOff>
    </xdr:from>
    <xdr:to>
      <xdr:col>18</xdr:col>
      <xdr:colOff>255960</xdr:colOff>
      <xdr:row>36</xdr:row>
      <xdr:rowOff>93240</xdr:rowOff>
    </xdr:to>
    <xdr:graphicFrame>
      <xdr:nvGraphicFramePr>
        <xdr:cNvPr id="1" name="Chart 2"/>
        <xdr:cNvGraphicFramePr/>
      </xdr:nvGraphicFramePr>
      <xdr:xfrm>
        <a:off x="782388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71280</xdr:rowOff>
    </xdr:from>
    <xdr:to>
      <xdr:col>18</xdr:col>
      <xdr:colOff>255960</xdr:colOff>
      <xdr:row>54</xdr:row>
      <xdr:rowOff>93240</xdr:rowOff>
    </xdr:to>
    <xdr:graphicFrame>
      <xdr:nvGraphicFramePr>
        <xdr:cNvPr id="2" name="Chart 3"/>
        <xdr:cNvGraphicFramePr/>
      </xdr:nvGraphicFramePr>
      <xdr:xfrm>
        <a:off x="7823880" y="7810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160560</xdr:rowOff>
    </xdr:from>
    <xdr:to>
      <xdr:col>17</xdr:col>
      <xdr:colOff>255960</xdr:colOff>
      <xdr:row>19</xdr:row>
      <xdr:rowOff>89640</xdr:rowOff>
    </xdr:to>
    <xdr:graphicFrame>
      <xdr:nvGraphicFramePr>
        <xdr:cNvPr id="3" name="Chart 1"/>
        <xdr:cNvGraphicFramePr/>
      </xdr:nvGraphicFramePr>
      <xdr:xfrm>
        <a:off x="740088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67320</xdr:rowOff>
    </xdr:from>
    <xdr:to>
      <xdr:col>17</xdr:col>
      <xdr:colOff>255960</xdr:colOff>
      <xdr:row>37</xdr:row>
      <xdr:rowOff>89640</xdr:rowOff>
    </xdr:to>
    <xdr:graphicFrame>
      <xdr:nvGraphicFramePr>
        <xdr:cNvPr id="4" name="Chart 2"/>
        <xdr:cNvGraphicFramePr/>
      </xdr:nvGraphicFramePr>
      <xdr:xfrm>
        <a:off x="740088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40</xdr:row>
      <xdr:rowOff>67320</xdr:rowOff>
    </xdr:from>
    <xdr:to>
      <xdr:col>17</xdr:col>
      <xdr:colOff>255960</xdr:colOff>
      <xdr:row>55</xdr:row>
      <xdr:rowOff>89640</xdr:rowOff>
    </xdr:to>
    <xdr:graphicFrame>
      <xdr:nvGraphicFramePr>
        <xdr:cNvPr id="5" name="Chart 3"/>
        <xdr:cNvGraphicFramePr/>
      </xdr:nvGraphicFramePr>
      <xdr:xfrm>
        <a:off x="7400880" y="7810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160560</xdr:rowOff>
    </xdr:from>
    <xdr:to>
      <xdr:col>19</xdr:col>
      <xdr:colOff>4680</xdr:colOff>
      <xdr:row>21</xdr:row>
      <xdr:rowOff>68400</xdr:rowOff>
    </xdr:to>
    <xdr:graphicFrame>
      <xdr:nvGraphicFramePr>
        <xdr:cNvPr id="6" name="Chart 1"/>
        <xdr:cNvGraphicFramePr/>
      </xdr:nvGraphicFramePr>
      <xdr:xfrm>
        <a:off x="9351720" y="952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5" t="s">
        <v>5</v>
      </c>
      <c r="C7" s="5" t="s">
        <v>6</v>
      </c>
    </row>
    <row r="8" customFormat="false" ht="15" hidden="false" customHeight="false" outlineLevel="0" collapsed="false">
      <c r="B8" s="6" t="s">
        <v>7</v>
      </c>
      <c r="C8" s="5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C11" s="7" t="s">
        <v>10</v>
      </c>
    </row>
    <row r="12" customFormat="false" ht="15" hidden="false" customHeight="false" outlineLevel="0" collapsed="false">
      <c r="C12" s="5" t="s">
        <v>11</v>
      </c>
    </row>
    <row r="13" customFormat="false" ht="15" hidden="false" customHeight="false" outlineLevel="0" collapsed="false">
      <c r="C13" s="5" t="s">
        <v>12</v>
      </c>
    </row>
    <row r="14" customFormat="false" ht="15" hidden="false" customHeight="false" outlineLevel="0" collapsed="false">
      <c r="C14" s="5"/>
    </row>
    <row r="15" customFormat="false" ht="15" hidden="false" customHeight="false" outlineLevel="0" collapsed="false">
      <c r="C15" s="5" t="s">
        <v>13</v>
      </c>
    </row>
    <row r="17" customFormat="false" ht="1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7" t="s">
        <v>15</v>
      </c>
      <c r="C18" s="5" t="s">
        <v>16</v>
      </c>
    </row>
    <row r="19" customFormat="false" ht="15" hidden="false" customHeight="false" outlineLevel="0" collapsed="false">
      <c r="B19" s="7" t="s">
        <v>17</v>
      </c>
      <c r="C19" s="5" t="s">
        <v>18</v>
      </c>
    </row>
    <row r="20" customFormat="false" ht="15" hidden="false" customHeight="false" outlineLevel="0" collapsed="false">
      <c r="B20" s="7" t="s">
        <v>19</v>
      </c>
      <c r="C20" s="5" t="s">
        <v>20</v>
      </c>
    </row>
    <row r="22" customFormat="false" ht="15" hidden="false" customHeight="false" outlineLevel="0" collapsed="false">
      <c r="B22" s="3" t="s">
        <v>21</v>
      </c>
    </row>
    <row r="23" customFormat="false" ht="15" hidden="false" customHeight="false" outlineLevel="0" collapsed="false">
      <c r="C23" s="5" t="s">
        <v>22</v>
      </c>
    </row>
    <row r="24" customFormat="false" ht="15" hidden="false" customHeight="false" outlineLevel="0" collapsed="false">
      <c r="C24" s="5" t="s">
        <v>23</v>
      </c>
    </row>
    <row r="25" customFormat="false" ht="15" hidden="false" customHeight="false" outlineLevel="0" collapsed="false">
      <c r="C25" s="5" t="s">
        <v>24</v>
      </c>
    </row>
    <row r="27" customFormat="false" ht="15" hidden="false" customHeight="false" outlineLevel="0" collapsed="false">
      <c r="B27" s="8" t="s">
        <v>25</v>
      </c>
    </row>
    <row r="28" customFormat="false" ht="15" hidden="false" customHeight="false" outlineLevel="0" collapsed="false">
      <c r="C28" s="9" t="s">
        <v>26</v>
      </c>
    </row>
    <row r="29" customFormat="false" ht="15" hidden="false" customHeight="false" outlineLevel="0" collapsed="false">
      <c r="C29" s="9" t="s">
        <v>27</v>
      </c>
    </row>
    <row r="30" customFormat="false" ht="15" hidden="false" customHeight="false" outlineLevel="0" collapsed="false">
      <c r="C30" s="9" t="s">
        <v>28</v>
      </c>
    </row>
    <row r="31" customFormat="false" ht="15" hidden="false" customHeight="false" outlineLevel="0" collapsed="false">
      <c r="C31" s="9" t="s">
        <v>29</v>
      </c>
    </row>
    <row r="32" customFormat="false" ht="15" hidden="false" customHeight="false" outlineLevel="0" collapsed="false">
      <c r="C32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9" min="6" style="0" width="12"/>
  </cols>
  <sheetData>
    <row r="2" customFormat="false" ht="17.35" hidden="false" customHeight="false" outlineLevel="0" collapsed="false">
      <c r="B2" s="1" t="s">
        <v>31</v>
      </c>
    </row>
    <row r="3" customFormat="false" ht="15" hidden="false" customHeight="false" outlineLevel="0" collapsed="false">
      <c r="B3" s="2" t="s">
        <v>32</v>
      </c>
    </row>
    <row r="6" customFormat="false" ht="15" hidden="false" customHeight="false" outlineLevel="0" collapsed="false">
      <c r="B6" s="3" t="s">
        <v>33</v>
      </c>
    </row>
    <row r="7" customFormat="false" ht="22.35" hidden="false" customHeight="false" outlineLevel="0" collapsed="false">
      <c r="B7" s="10" t="s">
        <v>34</v>
      </c>
      <c r="C7" s="10" t="s">
        <v>35</v>
      </c>
      <c r="D7" s="10" t="s">
        <v>36</v>
      </c>
      <c r="E7" s="10" t="s">
        <v>37</v>
      </c>
      <c r="F7" s="10" t="s">
        <v>38</v>
      </c>
      <c r="G7" s="10" t="s">
        <v>39</v>
      </c>
      <c r="H7" s="10" t="s">
        <v>40</v>
      </c>
    </row>
    <row r="8" customFormat="false" ht="15" hidden="false" customHeight="false" outlineLevel="0" collapsed="false">
      <c r="B8" s="11" t="s">
        <v>41</v>
      </c>
      <c r="C8" s="12" t="n">
        <v>13.5</v>
      </c>
      <c r="D8" s="12" t="n">
        <v>12</v>
      </c>
      <c r="E8" s="12" t="n">
        <v>1.8</v>
      </c>
      <c r="F8" s="13" t="n">
        <f aca="false">D8-E8</f>
        <v>10.2</v>
      </c>
      <c r="G8" s="13" t="n">
        <f aca="false">D8+E8</f>
        <v>13.8</v>
      </c>
      <c r="H8" s="14" t="n">
        <f aca="false">IF(E8=0,"",(C8-D8)/E8)</f>
        <v>0.833333333333333</v>
      </c>
    </row>
    <row r="9" customFormat="false" ht="15" hidden="false" customHeight="false" outlineLevel="0" collapsed="false">
      <c r="B9" s="11" t="s">
        <v>42</v>
      </c>
      <c r="C9" s="12" t="n">
        <v>10.5</v>
      </c>
      <c r="D9" s="12" t="n">
        <v>9.5</v>
      </c>
      <c r="E9" s="12" t="n">
        <v>1.5</v>
      </c>
      <c r="F9" s="13" t="n">
        <f aca="false">D9-E9</f>
        <v>8</v>
      </c>
      <c r="G9" s="13" t="n">
        <f aca="false">D9+E9</f>
        <v>11</v>
      </c>
      <c r="H9" s="14" t="n">
        <f aca="false">IF(E9=0,"",(C9-D9)/E9)</f>
        <v>0.666666666666667</v>
      </c>
    </row>
    <row r="10" customFormat="false" ht="15" hidden="false" customHeight="false" outlineLevel="0" collapsed="false">
      <c r="B10" s="11" t="s">
        <v>43</v>
      </c>
      <c r="C10" s="12" t="n">
        <v>11</v>
      </c>
      <c r="D10" s="12" t="n">
        <v>10.5</v>
      </c>
      <c r="E10" s="12" t="n">
        <v>2</v>
      </c>
      <c r="F10" s="13" t="n">
        <f aca="false">D10-E10</f>
        <v>8.5</v>
      </c>
      <c r="G10" s="13" t="n">
        <f aca="false">D10+E10</f>
        <v>12.5</v>
      </c>
      <c r="H10" s="14" t="n">
        <f aca="false">IF(E10=0,"",(C10-D10)/E10)</f>
        <v>0.25</v>
      </c>
    </row>
    <row r="11" customFormat="false" ht="15" hidden="false" customHeight="false" outlineLevel="0" collapsed="false">
      <c r="B11" s="11" t="s">
        <v>44</v>
      </c>
      <c r="C11" s="12" t="n">
        <v>16</v>
      </c>
      <c r="D11" s="12" t="n">
        <v>14.5</v>
      </c>
      <c r="E11" s="12" t="n">
        <v>1.4</v>
      </c>
      <c r="F11" s="13" t="n">
        <f aca="false">D11-E11</f>
        <v>13.1</v>
      </c>
      <c r="G11" s="13" t="n">
        <f aca="false">D11+E11</f>
        <v>15.9</v>
      </c>
      <c r="H11" s="14" t="n">
        <f aca="false">IF(E11=0,"",(C11-D11)/E11)</f>
        <v>1.07142857142857</v>
      </c>
    </row>
    <row r="12" customFormat="false" ht="15" hidden="false" customHeight="false" outlineLevel="0" collapsed="false">
      <c r="B12" s="11" t="s">
        <v>45</v>
      </c>
      <c r="C12" s="12" t="n">
        <v>17.5</v>
      </c>
      <c r="D12" s="12" t="n">
        <v>15</v>
      </c>
      <c r="E12" s="12" t="n">
        <v>2.5</v>
      </c>
      <c r="F12" s="13" t="n">
        <f aca="false">D12-E12</f>
        <v>12.5</v>
      </c>
      <c r="G12" s="13" t="n">
        <f aca="false">D12+E12</f>
        <v>17.5</v>
      </c>
      <c r="H12" s="14" t="n">
        <f aca="false">IF(E12=0,"",(C12-D12)/E12)</f>
        <v>1</v>
      </c>
    </row>
    <row r="13" customFormat="false" ht="15" hidden="false" customHeight="false" outlineLevel="0" collapsed="false">
      <c r="B13" s="15" t="s">
        <v>46</v>
      </c>
    </row>
    <row r="16" customFormat="false" ht="15" hidden="false" customHeight="false" outlineLevel="0" collapsed="false">
      <c r="B16" s="3" t="s">
        <v>47</v>
      </c>
    </row>
    <row r="17" customFormat="false" ht="22.35" hidden="false" customHeight="false" outlineLevel="0" collapsed="false">
      <c r="B17" s="10" t="s">
        <v>34</v>
      </c>
      <c r="C17" s="10" t="s">
        <v>48</v>
      </c>
      <c r="D17" s="10" t="s">
        <v>49</v>
      </c>
      <c r="E17" s="10" t="s">
        <v>50</v>
      </c>
      <c r="F17" s="10" t="s">
        <v>51</v>
      </c>
    </row>
    <row r="18" customFormat="false" ht="15" hidden="false" customHeight="false" outlineLevel="0" collapsed="false">
      <c r="B18" s="11" t="s">
        <v>41</v>
      </c>
      <c r="C18" s="16" t="n">
        <v>1.15</v>
      </c>
      <c r="D18" s="17" t="n">
        <v>0.14</v>
      </c>
      <c r="E18" s="17" t="n">
        <v>0.135</v>
      </c>
      <c r="F18" s="18" t="n">
        <f aca="false">IFERROR(((1+D18)*(1+E18))^0.5-1,"")</f>
        <v>0.137497252743935</v>
      </c>
    </row>
    <row r="19" customFormat="false" ht="15" hidden="false" customHeight="false" outlineLevel="0" collapsed="false">
      <c r="B19" s="11" t="s">
        <v>42</v>
      </c>
      <c r="C19" s="16" t="n">
        <v>1.08</v>
      </c>
      <c r="D19" s="17" t="n">
        <v>0.12</v>
      </c>
      <c r="E19" s="17" t="n">
        <v>0.11</v>
      </c>
      <c r="F19" s="18" t="n">
        <f aca="false">IFERROR(((1+D19)*(1+E19))^0.5-1,"")</f>
        <v>0.114988789181308</v>
      </c>
    </row>
    <row r="20" customFormat="false" ht="15" hidden="false" customHeight="false" outlineLevel="0" collapsed="false">
      <c r="B20" s="11" t="s">
        <v>43</v>
      </c>
      <c r="C20" s="16" t="n">
        <v>1.22</v>
      </c>
      <c r="D20" s="17" t="n">
        <v>0.25</v>
      </c>
      <c r="E20" s="17" t="n">
        <v>0.18</v>
      </c>
      <c r="F20" s="18" t="n">
        <f aca="false">IFERROR(((1+D20)*(1+E20))^0.5-1,"")</f>
        <v>0.214495780149112</v>
      </c>
    </row>
    <row r="21" customFormat="false" ht="15" hidden="false" customHeight="false" outlineLevel="0" collapsed="false">
      <c r="B21" s="11" t="s">
        <v>44</v>
      </c>
      <c r="C21" s="16" t="n">
        <v>0.95</v>
      </c>
      <c r="D21" s="17" t="n">
        <v>0.08</v>
      </c>
      <c r="E21" s="17" t="n">
        <v>0.07</v>
      </c>
      <c r="F21" s="18" t="n">
        <f aca="false">IFERROR(((1+D21)*(1+E21))^0.5-1,"")</f>
        <v>0.0749883720301352</v>
      </c>
    </row>
    <row r="22" customFormat="false" ht="15" hidden="false" customHeight="false" outlineLevel="0" collapsed="false">
      <c r="B22" s="11" t="s">
        <v>45</v>
      </c>
      <c r="C22" s="16" t="n">
        <v>1.3</v>
      </c>
      <c r="D22" s="17" t="n">
        <v>0.22</v>
      </c>
      <c r="E22" s="17" t="n">
        <v>0.16</v>
      </c>
      <c r="F22" s="18" t="n">
        <f aca="false">IFERROR(((1+D22)*(1+E22))^0.5-1,"")</f>
        <v>0.189621788637044</v>
      </c>
    </row>
    <row r="23" customFormat="false" ht="15" hidden="false" customHeight="false" outlineLevel="0" collapsed="false">
      <c r="B23" s="15" t="s">
        <v>52</v>
      </c>
    </row>
    <row r="26" customFormat="false" ht="15" hidden="false" customHeight="false" outlineLevel="0" collapsed="false">
      <c r="B26" s="3" t="s">
        <v>53</v>
      </c>
    </row>
    <row r="27" customFormat="false" ht="22.35" hidden="false" customHeight="false" outlineLevel="0" collapsed="false">
      <c r="B27" s="10" t="s">
        <v>54</v>
      </c>
      <c r="C27" s="10" t="s">
        <v>55</v>
      </c>
      <c r="D27" s="10" t="s">
        <v>49</v>
      </c>
      <c r="E27" s="10" t="s">
        <v>56</v>
      </c>
      <c r="F27" s="10" t="s">
        <v>57</v>
      </c>
    </row>
    <row r="28" customFormat="false" ht="15" hidden="false" customHeight="false" outlineLevel="0" collapsed="false">
      <c r="B28" s="11" t="s">
        <v>58</v>
      </c>
      <c r="C28" s="12" t="n">
        <v>14</v>
      </c>
      <c r="D28" s="17" t="n">
        <v>0.15</v>
      </c>
      <c r="E28" s="14" t="n">
        <f aca="false">IFERROR(C28/(D28*100),"")</f>
        <v>0.933333333333333</v>
      </c>
      <c r="F28" s="19" t="s">
        <v>59</v>
      </c>
    </row>
    <row r="29" customFormat="false" ht="15" hidden="false" customHeight="false" outlineLevel="0" collapsed="false">
      <c r="B29" s="11" t="s">
        <v>60</v>
      </c>
      <c r="C29" s="12" t="n">
        <v>12</v>
      </c>
      <c r="D29" s="17" t="n">
        <v>0.1</v>
      </c>
      <c r="E29" s="14" t="n">
        <f aca="false">IFERROR(C29/(D29*100),"")</f>
        <v>1.2</v>
      </c>
      <c r="F29" s="19" t="s">
        <v>59</v>
      </c>
    </row>
    <row r="30" customFormat="false" ht="15" hidden="false" customHeight="false" outlineLevel="0" collapsed="false">
      <c r="B30" s="11" t="s">
        <v>61</v>
      </c>
      <c r="C30" s="12" t="n">
        <v>13</v>
      </c>
      <c r="D30" s="17" t="n">
        <v>0.3</v>
      </c>
      <c r="E30" s="14" t="n">
        <f aca="false">IFERROR(C30/(D30*100),"")</f>
        <v>0.433333333333333</v>
      </c>
      <c r="F30" s="19" t="s">
        <v>59</v>
      </c>
    </row>
    <row r="31" customFormat="false" ht="15" hidden="false" customHeight="false" outlineLevel="0" collapsed="false">
      <c r="B31" s="11" t="s">
        <v>62</v>
      </c>
      <c r="C31" s="12" t="n">
        <v>18</v>
      </c>
      <c r="D31" s="17" t="n">
        <v>0.24</v>
      </c>
      <c r="E31" s="14" t="n">
        <f aca="false">IFERROR(C31/(D31*100),"")</f>
        <v>0.75</v>
      </c>
      <c r="F31" s="19" t="s">
        <v>59</v>
      </c>
    </row>
    <row r="32" customFormat="false" ht="15" hidden="false" customHeight="false" outlineLevel="0" collapsed="false">
      <c r="B32" s="11" t="s">
        <v>63</v>
      </c>
      <c r="C32" s="12" t="n">
        <v>17</v>
      </c>
      <c r="D32" s="17" t="n">
        <v>0.075</v>
      </c>
      <c r="E32" s="14" t="n">
        <f aca="false">IFERROR(C32/(D32*100),"")</f>
        <v>2.26666666666667</v>
      </c>
      <c r="F32" s="19" t="s">
        <v>59</v>
      </c>
    </row>
    <row r="33" customFormat="false" ht="15" hidden="false" customHeight="false" outlineLevel="0" collapsed="false">
      <c r="B33" s="1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8" min="5" style="0" width="12"/>
  </cols>
  <sheetData>
    <row r="2" customFormat="false" ht="17.35" hidden="false" customHeight="false" outlineLevel="0" collapsed="false">
      <c r="B2" s="1" t="s">
        <v>65</v>
      </c>
    </row>
    <row r="3" customFormat="false" ht="15" hidden="false" customHeight="false" outlineLevel="0" collapsed="false">
      <c r="B3" s="2" t="s">
        <v>66</v>
      </c>
    </row>
    <row r="6" customFormat="false" ht="15" hidden="false" customHeight="false" outlineLevel="0" collapsed="false">
      <c r="B6" s="3" t="s">
        <v>67</v>
      </c>
    </row>
    <row r="7" customFormat="false" ht="15" hidden="false" customHeight="false" outlineLevel="0" collapsed="false">
      <c r="B7" s="10" t="s">
        <v>68</v>
      </c>
      <c r="C7" s="10" t="s">
        <v>69</v>
      </c>
      <c r="D7" s="10" t="s">
        <v>70</v>
      </c>
      <c r="E7" s="10" t="s">
        <v>71</v>
      </c>
      <c r="F7" s="10" t="s">
        <v>72</v>
      </c>
    </row>
    <row r="8" customFormat="false" ht="15" hidden="false" customHeight="false" outlineLevel="0" collapsed="false">
      <c r="B8" s="11" t="s">
        <v>73</v>
      </c>
      <c r="C8" s="20" t="n">
        <v>0.019</v>
      </c>
      <c r="D8" s="20" t="n">
        <v>0.005</v>
      </c>
      <c r="E8" s="21" t="n">
        <f aca="false">C8-D8</f>
        <v>0.014</v>
      </c>
      <c r="F8" s="20" t="n">
        <v>0.013</v>
      </c>
    </row>
    <row r="9" customFormat="false" ht="15" hidden="false" customHeight="false" outlineLevel="0" collapsed="false">
      <c r="B9" s="11" t="s">
        <v>74</v>
      </c>
      <c r="C9" s="20" t="n">
        <v>0.034</v>
      </c>
      <c r="D9" s="20" t="n">
        <v>0.015</v>
      </c>
      <c r="E9" s="21" t="n">
        <f aca="false">C9-D9</f>
        <v>0.019</v>
      </c>
      <c r="F9" s="20" t="n">
        <v>0.04</v>
      </c>
    </row>
    <row r="10" customFormat="false" ht="15" hidden="false" customHeight="false" outlineLevel="0" collapsed="false">
      <c r="B10" s="11" t="s">
        <v>75</v>
      </c>
      <c r="C10" s="20" t="n">
        <v>0.031</v>
      </c>
      <c r="D10" s="20" t="n">
        <v>0.02</v>
      </c>
      <c r="E10" s="21" t="n">
        <f aca="false">C10-D10</f>
        <v>0.011</v>
      </c>
      <c r="F10" s="20" t="n">
        <v>0.025</v>
      </c>
    </row>
    <row r="11" customFormat="false" ht="15" hidden="false" customHeight="false" outlineLevel="0" collapsed="false">
      <c r="B11" s="11" t="s">
        <v>76</v>
      </c>
      <c r="C11" s="20" t="n">
        <v>0.019</v>
      </c>
      <c r="D11" s="20" t="n">
        <v>0.025</v>
      </c>
      <c r="E11" s="21" t="n">
        <f aca="false">C11-D11</f>
        <v>-0.006</v>
      </c>
      <c r="F11" s="20" t="n">
        <v>0.0075</v>
      </c>
    </row>
    <row r="12" customFormat="false" ht="15" hidden="false" customHeight="false" outlineLevel="0" collapsed="false">
      <c r="B12" s="11" t="s">
        <v>77</v>
      </c>
      <c r="C12" s="20" t="n">
        <v>0.016</v>
      </c>
      <c r="D12" s="20" t="n">
        <v>0.016</v>
      </c>
      <c r="E12" s="21" t="n">
        <f aca="false">C12-D12</f>
        <v>0</v>
      </c>
      <c r="F12" s="20" t="n">
        <v>0.02</v>
      </c>
    </row>
    <row r="13" customFormat="false" ht="15" hidden="false" customHeight="false" outlineLevel="0" collapsed="false">
      <c r="B13" s="15" t="s">
        <v>78</v>
      </c>
    </row>
    <row r="16" customFormat="false" ht="15" hidden="false" customHeight="false" outlineLevel="0" collapsed="false">
      <c r="B16" s="3" t="s">
        <v>79</v>
      </c>
    </row>
    <row r="17" customFormat="false" ht="22.35" hidden="false" customHeight="false" outlineLevel="0" collapsed="false">
      <c r="B17" s="10" t="s">
        <v>80</v>
      </c>
      <c r="C17" s="10" t="s">
        <v>81</v>
      </c>
      <c r="D17" s="10" t="s">
        <v>82</v>
      </c>
      <c r="E17" s="10" t="s">
        <v>83</v>
      </c>
      <c r="F17" s="10" t="s">
        <v>84</v>
      </c>
    </row>
    <row r="18" customFormat="false" ht="15" hidden="false" customHeight="false" outlineLevel="0" collapsed="false">
      <c r="B18" s="11" t="s">
        <v>85</v>
      </c>
      <c r="C18" s="20" t="n">
        <v>0.005</v>
      </c>
      <c r="D18" s="20" t="n">
        <v>0.0075</v>
      </c>
      <c r="E18" s="20" t="n">
        <v>0.025</v>
      </c>
      <c r="F18" s="20"/>
    </row>
    <row r="19" customFormat="false" ht="15" hidden="false" customHeight="false" outlineLevel="0" collapsed="false">
      <c r="B19" s="11" t="s">
        <v>86</v>
      </c>
      <c r="C19" s="20" t="n">
        <v>0.005</v>
      </c>
      <c r="D19" s="20" t="n">
        <v>0.008</v>
      </c>
      <c r="E19" s="20" t="n">
        <v>0.0255</v>
      </c>
      <c r="F19" s="20" t="n">
        <v>0.0533</v>
      </c>
    </row>
    <row r="20" customFormat="false" ht="15" hidden="false" customHeight="false" outlineLevel="0" collapsed="false">
      <c r="B20" s="11" t="s">
        <v>87</v>
      </c>
      <c r="C20" s="20" t="n">
        <v>0.005</v>
      </c>
      <c r="D20" s="20" t="n">
        <v>0.0085</v>
      </c>
      <c r="E20" s="20" t="n">
        <v>0.026</v>
      </c>
      <c r="F20" s="20"/>
    </row>
    <row r="21" customFormat="false" ht="15" hidden="false" customHeight="false" outlineLevel="0" collapsed="false">
      <c r="B21" s="11" t="s">
        <v>88</v>
      </c>
      <c r="C21" s="20" t="n">
        <v>0.005</v>
      </c>
      <c r="D21" s="20" t="n">
        <v>0.009</v>
      </c>
      <c r="E21" s="20" t="n">
        <v>0.0258</v>
      </c>
      <c r="F21" s="20"/>
    </row>
    <row r="22" customFormat="false" ht="15" hidden="false" customHeight="false" outlineLevel="0" collapsed="false">
      <c r="B22" s="11" t="s">
        <v>89</v>
      </c>
      <c r="C22" s="20" t="n">
        <v>0.005</v>
      </c>
      <c r="D22" s="20" t="n">
        <v>0.0095</v>
      </c>
      <c r="E22" s="20" t="n">
        <v>0.0262</v>
      </c>
      <c r="F22" s="20"/>
    </row>
    <row r="23" customFormat="false" ht="15" hidden="false" customHeight="false" outlineLevel="0" collapsed="false">
      <c r="B23" s="11" t="s">
        <v>90</v>
      </c>
      <c r="C23" s="20" t="n">
        <v>0.005</v>
      </c>
      <c r="D23" s="20" t="n">
        <v>0.01</v>
      </c>
      <c r="E23" s="20" t="n">
        <v>0.0265</v>
      </c>
      <c r="F23" s="20"/>
    </row>
    <row r="24" customFormat="false" ht="15" hidden="false" customHeight="false" outlineLevel="0" collapsed="false">
      <c r="B24" s="11" t="s">
        <v>91</v>
      </c>
      <c r="C24" s="20" t="n">
        <v>0.0075</v>
      </c>
      <c r="D24" s="20" t="n">
        <v>0.011</v>
      </c>
      <c r="E24" s="20" t="n">
        <v>0.0268</v>
      </c>
      <c r="F24" s="20"/>
    </row>
    <row r="25" customFormat="false" ht="15" hidden="false" customHeight="false" outlineLevel="0" collapsed="false">
      <c r="B25" s="11" t="s">
        <v>92</v>
      </c>
      <c r="C25" s="20" t="n">
        <v>0.0075</v>
      </c>
      <c r="D25" s="20" t="n">
        <v>0.0115</v>
      </c>
      <c r="E25" s="20" t="n">
        <v>0.027</v>
      </c>
      <c r="F25" s="20" t="n">
        <v>0.0545</v>
      </c>
    </row>
    <row r="26" customFormat="false" ht="15" hidden="false" customHeight="false" outlineLevel="0" collapsed="false">
      <c r="B26" s="11" t="s">
        <v>93</v>
      </c>
      <c r="C26" s="20" t="n">
        <v>0.0075</v>
      </c>
      <c r="D26" s="20" t="n">
        <v>0.012</v>
      </c>
      <c r="E26" s="20" t="n">
        <v>0.0262</v>
      </c>
      <c r="F26" s="20"/>
    </row>
    <row r="27" customFormat="false" ht="15" hidden="false" customHeight="false" outlineLevel="0" collapsed="false">
      <c r="B27" s="11" t="s">
        <v>94</v>
      </c>
      <c r="C27" s="20" t="n">
        <v>0.0075</v>
      </c>
      <c r="D27" s="20" t="n">
        <v>0.0125</v>
      </c>
      <c r="E27" s="20" t="n">
        <v>0.0255</v>
      </c>
      <c r="F27" s="20"/>
    </row>
    <row r="29" customFormat="false" ht="15" hidden="false" customHeight="false" outlineLevel="0" collapsed="false">
      <c r="B29" s="15" t="s">
        <v>95</v>
      </c>
    </row>
    <row r="32" customFormat="false" ht="15" hidden="false" customHeight="false" outlineLevel="0" collapsed="false">
      <c r="B32" s="3" t="s">
        <v>96</v>
      </c>
    </row>
    <row r="33" customFormat="false" ht="15" hidden="false" customHeight="false" outlineLevel="0" collapsed="false">
      <c r="B33" s="10" t="s">
        <v>97</v>
      </c>
      <c r="C33" s="10" t="s">
        <v>98</v>
      </c>
      <c r="D33" s="10" t="s">
        <v>99</v>
      </c>
      <c r="E33" s="10" t="s">
        <v>100</v>
      </c>
      <c r="F33" s="10" t="s">
        <v>101</v>
      </c>
      <c r="G33" s="10" t="s">
        <v>102</v>
      </c>
    </row>
    <row r="34" customFormat="false" ht="15" hidden="false" customHeight="false" outlineLevel="0" collapsed="false">
      <c r="B34" s="11" t="s">
        <v>103</v>
      </c>
      <c r="C34" s="22" t="n">
        <v>90</v>
      </c>
      <c r="D34" s="22" t="n">
        <v>5</v>
      </c>
      <c r="E34" s="22" t="n">
        <v>130</v>
      </c>
      <c r="F34" s="22" t="n">
        <v>62</v>
      </c>
      <c r="G34" s="18" t="n">
        <f aca="false">IFERROR((C34-D34)/(E34-D34),"")</f>
        <v>0.68</v>
      </c>
    </row>
    <row r="35" customFormat="false" ht="15" hidden="false" customHeight="false" outlineLevel="0" collapsed="false">
      <c r="B35" s="11" t="s">
        <v>104</v>
      </c>
      <c r="C35" s="22" t="n">
        <v>100</v>
      </c>
      <c r="D35" s="22" t="n">
        <v>40</v>
      </c>
      <c r="E35" s="22" t="n">
        <v>165</v>
      </c>
      <c r="F35" s="22" t="n">
        <v>95</v>
      </c>
      <c r="G35" s="18" t="n">
        <f aca="false">IFERROR((C35-D35)/(E35-D35),"")</f>
        <v>0.48</v>
      </c>
    </row>
    <row r="36" customFormat="false" ht="15" hidden="false" customHeight="false" outlineLevel="0" collapsed="false">
      <c r="B36" s="11" t="s">
        <v>105</v>
      </c>
      <c r="C36" s="22" t="n">
        <v>55</v>
      </c>
      <c r="D36" s="22" t="n">
        <v>-108</v>
      </c>
      <c r="E36" s="22" t="n">
        <v>160</v>
      </c>
      <c r="F36" s="22" t="n">
        <v>20</v>
      </c>
      <c r="G36" s="18" t="n">
        <f aca="false">IFERROR((C36-D36)/(E36-D36),"")</f>
        <v>0.608208955223881</v>
      </c>
    </row>
    <row r="37" customFormat="false" ht="15" hidden="false" customHeight="false" outlineLevel="0" collapsed="false">
      <c r="B37" s="11" t="s">
        <v>106</v>
      </c>
      <c r="C37" s="22" t="n">
        <v>75</v>
      </c>
      <c r="D37" s="22" t="n">
        <v>-75</v>
      </c>
      <c r="E37" s="22" t="n">
        <v>100</v>
      </c>
      <c r="F37" s="22" t="n">
        <v>15</v>
      </c>
      <c r="G37" s="18" t="n">
        <f aca="false">IFERROR((C37-D37)/(E37-D37),"")</f>
        <v>0.857142857142857</v>
      </c>
    </row>
    <row r="38" customFormat="false" ht="15" hidden="false" customHeight="false" outlineLevel="0" collapsed="false">
      <c r="B38" s="11" t="s">
        <v>107</v>
      </c>
      <c r="C38" s="22" t="n">
        <v>40</v>
      </c>
      <c r="D38" s="22" t="n">
        <v>-20</v>
      </c>
      <c r="E38" s="22" t="n">
        <v>95</v>
      </c>
      <c r="F38" s="22" t="n">
        <v>32</v>
      </c>
      <c r="G38" s="18" t="n">
        <f aca="false">IFERROR((C38-D38)/(E38-D38),"")</f>
        <v>0.521739130434783</v>
      </c>
    </row>
    <row r="39" customFormat="false" ht="15" hidden="false" customHeight="false" outlineLevel="0" collapsed="false">
      <c r="B39" s="1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30"/>
  </cols>
  <sheetData>
    <row r="2" customFormat="false" ht="17.35" hidden="false" customHeight="false" outlineLevel="0" collapsed="false">
      <c r="B2" s="1" t="s">
        <v>109</v>
      </c>
    </row>
    <row r="3" customFormat="false" ht="15" hidden="false" customHeight="false" outlineLevel="0" collapsed="false">
      <c r="B3" s="2" t="s">
        <v>110</v>
      </c>
    </row>
    <row r="6" customFormat="false" ht="15" hidden="false" customHeight="false" outlineLevel="0" collapsed="false">
      <c r="B6" s="3" t="s">
        <v>111</v>
      </c>
    </row>
    <row r="7" customFormat="false" ht="15" hidden="false" customHeight="false" outlineLevel="0" collapsed="false">
      <c r="B7" s="10" t="s">
        <v>68</v>
      </c>
      <c r="C7" s="10" t="s">
        <v>55</v>
      </c>
      <c r="D7" s="10" t="s">
        <v>112</v>
      </c>
      <c r="E7" s="10" t="s">
        <v>113</v>
      </c>
      <c r="F7" s="10" t="s">
        <v>114</v>
      </c>
      <c r="G7" s="10" t="s">
        <v>115</v>
      </c>
      <c r="H7" s="10" t="s">
        <v>116</v>
      </c>
    </row>
    <row r="8" customFormat="false" ht="15" hidden="false" customHeight="false" outlineLevel="0" collapsed="false">
      <c r="B8" s="11" t="s">
        <v>117</v>
      </c>
      <c r="C8" s="23" t="n">
        <f aca="false">S1_Equities!C8</f>
        <v>13.5</v>
      </c>
      <c r="D8" s="21" t="n">
        <f aca="false">IFERROR(1/C8,"")</f>
        <v>0.0740740740740741</v>
      </c>
      <c r="E8" s="24" t="n">
        <f aca="false">S2_FixedIncome!C8</f>
        <v>0.019</v>
      </c>
      <c r="F8" s="21" t="n">
        <f aca="false">D8-E8</f>
        <v>0.0550740740740741</v>
      </c>
      <c r="G8" s="20" t="n">
        <v>0.048</v>
      </c>
      <c r="H8" s="21" t="n">
        <f aca="false">F8-G8</f>
        <v>0.00707407407407407</v>
      </c>
    </row>
    <row r="9" customFormat="false" ht="15" hidden="false" customHeight="false" outlineLevel="0" collapsed="false">
      <c r="B9" s="11" t="s">
        <v>118</v>
      </c>
      <c r="C9" s="23" t="n">
        <f aca="false">S1_Equities!C9</f>
        <v>10.5</v>
      </c>
      <c r="D9" s="21" t="n">
        <f aca="false">IFERROR(1/C9,"")</f>
        <v>0.0952380952380952</v>
      </c>
      <c r="E9" s="24" t="n">
        <f aca="false">S2_FixedIncome!C9</f>
        <v>0.034</v>
      </c>
      <c r="F9" s="21" t="n">
        <f aca="false">D9-E9</f>
        <v>0.0612380952380952</v>
      </c>
      <c r="G9" s="20" t="n">
        <v>0.062</v>
      </c>
      <c r="H9" s="21" t="n">
        <f aca="false">F9-G9</f>
        <v>-0.000761904761904769</v>
      </c>
    </row>
    <row r="10" customFormat="false" ht="15" hidden="false" customHeight="false" outlineLevel="0" collapsed="false">
      <c r="B10" s="11" t="s">
        <v>119</v>
      </c>
      <c r="C10" s="23" t="n">
        <f aca="false">S1_Equities!C10</f>
        <v>11</v>
      </c>
      <c r="D10" s="21" t="n">
        <f aca="false">IFERROR(1/C10,"")</f>
        <v>0.0909090909090909</v>
      </c>
      <c r="E10" s="24" t="n">
        <f aca="false">S2_FixedIncome!C10</f>
        <v>0.031</v>
      </c>
      <c r="F10" s="21" t="n">
        <f aca="false">D10-E10</f>
        <v>0.0599090909090909</v>
      </c>
      <c r="G10" s="20" t="n">
        <v>0.051</v>
      </c>
      <c r="H10" s="21" t="n">
        <f aca="false">F10-G10</f>
        <v>0.00890909090909092</v>
      </c>
    </row>
    <row r="11" customFormat="false" ht="15" hidden="false" customHeight="false" outlineLevel="0" collapsed="false">
      <c r="B11" s="11" t="s">
        <v>120</v>
      </c>
      <c r="C11" s="23" t="n">
        <f aca="false">S1_Equities!C11</f>
        <v>16</v>
      </c>
      <c r="D11" s="21" t="n">
        <f aca="false">IFERROR(1/C11,"")</f>
        <v>0.0625</v>
      </c>
      <c r="E11" s="24" t="n">
        <f aca="false">S2_FixedIncome!C11</f>
        <v>0.019</v>
      </c>
      <c r="F11" s="21" t="n">
        <f aca="false">D11-E11</f>
        <v>0.0435</v>
      </c>
      <c r="G11" s="20" t="n">
        <v>0.043</v>
      </c>
      <c r="H11" s="21" t="n">
        <f aca="false">F11-G11</f>
        <v>0.0005</v>
      </c>
    </row>
    <row r="12" customFormat="false" ht="15" hidden="false" customHeight="false" outlineLevel="0" collapsed="false">
      <c r="B12" s="11" t="s">
        <v>121</v>
      </c>
      <c r="C12" s="23" t="n">
        <f aca="false">S1_Equities!C12</f>
        <v>17.5</v>
      </c>
      <c r="D12" s="21" t="n">
        <f aca="false">IFERROR(1/C12,"")</f>
        <v>0.0571428571428571</v>
      </c>
      <c r="E12" s="24" t="n">
        <f aca="false">S2_FixedIncome!C12</f>
        <v>0.016</v>
      </c>
      <c r="F12" s="21" t="n">
        <f aca="false">D12-E12</f>
        <v>0.0411428571428571</v>
      </c>
      <c r="G12" s="20" t="n">
        <v>0.035</v>
      </c>
      <c r="H12" s="21" t="n">
        <f aca="false">F12-G12</f>
        <v>0.00614285714285714</v>
      </c>
    </row>
    <row r="13" customFormat="false" ht="15" hidden="false" customHeight="false" outlineLevel="0" collapsed="false">
      <c r="B13" s="15" t="s">
        <v>122</v>
      </c>
    </row>
    <row r="17" customFormat="false" ht="15" hidden="false" customHeight="false" outlineLevel="0" collapsed="false">
      <c r="B17" s="3" t="s">
        <v>123</v>
      </c>
    </row>
    <row r="18" customFormat="false" ht="22.35" hidden="false" customHeight="false" outlineLevel="0" collapsed="false">
      <c r="B18" s="10" t="s">
        <v>124</v>
      </c>
      <c r="C18" s="10" t="s">
        <v>125</v>
      </c>
      <c r="D18" s="10" t="s">
        <v>126</v>
      </c>
      <c r="E18" s="10" t="s">
        <v>127</v>
      </c>
      <c r="F18" s="10" t="s">
        <v>128</v>
      </c>
    </row>
    <row r="19" customFormat="false" ht="15" hidden="false" customHeight="false" outlineLevel="0" collapsed="false">
      <c r="B19" s="11" t="s">
        <v>129</v>
      </c>
      <c r="C19" s="25" t="s">
        <v>130</v>
      </c>
      <c r="D19" s="11" t="s">
        <v>131</v>
      </c>
      <c r="E19" s="24" t="n">
        <f aca="false">H8</f>
        <v>0.00707407407407407</v>
      </c>
      <c r="F19" s="19" t="s">
        <v>132</v>
      </c>
    </row>
    <row r="20" customFormat="false" ht="15" hidden="false" customHeight="false" outlineLevel="0" collapsed="false">
      <c r="B20" s="11" t="s">
        <v>133</v>
      </c>
      <c r="C20" s="26" t="s">
        <v>134</v>
      </c>
      <c r="D20" s="11" t="s">
        <v>135</v>
      </c>
      <c r="E20" s="27" t="n">
        <f aca="false">S1_Equities!C20</f>
        <v>1.22</v>
      </c>
      <c r="F20" s="19" t="s">
        <v>136</v>
      </c>
    </row>
    <row r="21" customFormat="false" ht="15" hidden="false" customHeight="false" outlineLevel="0" collapsed="false">
      <c r="B21" s="11" t="s">
        <v>137</v>
      </c>
      <c r="C21" s="26" t="s">
        <v>134</v>
      </c>
      <c r="D21" s="11" t="s">
        <v>138</v>
      </c>
      <c r="E21" s="27" t="n">
        <f aca="false">S1_Equities!H12</f>
        <v>1</v>
      </c>
      <c r="F21" s="19" t="s">
        <v>139</v>
      </c>
    </row>
    <row r="22" customFormat="false" ht="15" hidden="false" customHeight="false" outlineLevel="0" collapsed="false">
      <c r="B22" s="11" t="s">
        <v>140</v>
      </c>
      <c r="C22" s="26" t="s">
        <v>134</v>
      </c>
      <c r="D22" s="11" t="s">
        <v>141</v>
      </c>
      <c r="E22" s="24" t="n">
        <f aca="false">H11</f>
        <v>0.0005</v>
      </c>
      <c r="F22" s="19" t="s">
        <v>132</v>
      </c>
    </row>
    <row r="23" customFormat="false" ht="15" hidden="false" customHeight="false" outlineLevel="0" collapsed="false">
      <c r="B23" s="11" t="s">
        <v>142</v>
      </c>
      <c r="C23" s="28" t="s">
        <v>143</v>
      </c>
      <c r="D23" s="11" t="s">
        <v>71</v>
      </c>
      <c r="E23" s="24" t="n">
        <f aca="false">S2_FixedIncome!E11</f>
        <v>-0.006</v>
      </c>
      <c r="F23" s="19" t="s">
        <v>144</v>
      </c>
    </row>
    <row r="24" customFormat="false" ht="15" hidden="false" customHeight="false" outlineLevel="0" collapsed="false">
      <c r="B24" s="11" t="s">
        <v>145</v>
      </c>
      <c r="C24" s="26" t="s">
        <v>134</v>
      </c>
      <c r="D24" s="11" t="s">
        <v>71</v>
      </c>
      <c r="E24" s="24" t="n">
        <f aca="false">S2_FixedIncome!E8</f>
        <v>0.014</v>
      </c>
      <c r="F24" s="19" t="s">
        <v>144</v>
      </c>
    </row>
    <row r="26" customFormat="false" ht="15" hidden="false" customHeight="false" outlineLevel="0" collapsed="false">
      <c r="B26" s="29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2026-08-09T07:52:52Z</dcterms:created>
  <dc:creator>openpyxl</dc:creator>
  <dc:description/>
  <dc:language>en-US</dc:language>
  <cp:lastModifiedBy/>
  <dcterms:modified xsi:type="dcterms:W3CDTF">2026-08-09T07:53:02Z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