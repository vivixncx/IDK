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_ME" sheetId="1" state="visible" r:id="rId3"/>
    <sheet name="01_Mix_NEV_vs_ICE" sheetId="2" state="visible" r:id="rId4"/>
    <sheet name="02_Market_Share" sheetId="3" state="visible" r:id="rId5"/>
    <sheet name="03_Revenue_Mix_Geo" sheetId="4" state="visible" r:id="rId6"/>
    <sheet name="04_Not_Solar" sheetId="5" state="visible" r:id="rId7"/>
    <sheet name="05_ESS_DataCentre" sheetId="6" state="visible" r:id="rId8"/>
    <sheet name="06_Compounding" sheetId="7" state="visible" r:id="rId9"/>
    <sheet name="07_Appendix_QandA" sheetId="8" state="visible" r:id="rId10"/>
    <sheet name="08_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<sst xmlns="http://schemas.openxmlformats.org/spreadsheetml/2006/main" count="818" uniqueCount="584">
  <si>
    <t xml:space="preserve">CATL — LONG.  Two slides, six charts.</t>
  </si>
  <si>
    <t xml:space="preserve">Raw data workbook. One tab per chart. Blue = sourced input, black = formula. Data as of 8 Aug 2026.</t>
  </si>
  <si>
    <t xml:space="preserve">SLIDE 1  —  "The engine is not the one you're worried about"</t>
  </si>
  <si>
    <t xml:space="preserve">#</t>
  </si>
  <si>
    <t xml:space="preserve">Chart</t>
  </si>
  <si>
    <t xml:space="preserve">What it shows</t>
  </si>
  <si>
    <t xml:space="preserve">The one line it proves</t>
  </si>
  <si>
    <t xml:space="preserve">Tab</t>
  </si>
  <si>
    <t xml:space="preserve">1</t>
  </si>
  <si>
    <t xml:space="preserve">China new-car mix, monthly
(stacked cols + line)</t>
  </si>
  <si>
    <t xml:space="preserve">NEV units vs ICE units per month, Jul-25 to Jul-26, with NEV penetration % on 2nd axis</t>
  </si>
  <si>
    <t xml:space="preserve">Penetration went 55% -&gt; 65% because ICE COLLAPSED ~40%, not because NEV boomed. The mix shift is structural and irreversible.</t>
  </si>
  <si>
    <t xml:space="preserve">01_Mix_NEV_vs_ICE</t>
  </si>
  <si>
    <t xml:space="preserve">2</t>
  </si>
  <si>
    <t xml:space="preserve">Share is consolidating
(bar + delta bar)</t>
  </si>
  <si>
    <t xml:space="preserve">H1-26 global EV battery share by player vs H1-25, plus CATL ex-China share</t>
  </si>
  <si>
    <t xml:space="preserve">In a market up 20%, CATL took +1.7pp while BYD lost 2.6pp and the Koreans shrank. Ex-China share 30.0% -&gt; 33.6%.</t>
  </si>
  <si>
    <t xml:space="preserve">02_Market_Share</t>
  </si>
  <si>
    <t xml:space="preserve">3</t>
  </si>
  <si>
    <t xml:space="preserve">Four revenue streams, ~2-3% US
(stacked bar + pie)</t>
  </si>
  <si>
    <t xml:space="preserve">Revenue by segment and by geography; US carve-out</t>
  </si>
  <si>
    <t xml:space="preserve">31.5% overseas at a 30% gross margin, but only ~2-3% of battery sales touch the US. Geopolitical risk is largely already routed around.</t>
  </si>
  <si>
    <t xml:space="preserve">03_Revenue_Mix_Geo</t>
  </si>
  <si>
    <t xml:space="preserve">SLIDE 2  —  "Priced as a cyclical. Behaves like a compounder. Owns a free option."</t>
  </si>
  <si>
    <t xml:space="preserve">4</t>
  </si>
  <si>
    <r>
      <rPr>
        <sz val="10"/>
        <rFont val="Arial"/>
        <family val="0"/>
        <charset val="1"/>
      </rPr>
      <t xml:space="preserve">The </t>
    </r>
    <r>
      <rPr>
        <sz val="10"/>
        <rFont val="Noto Sans CJK SC"/>
        <family val="2"/>
      </rPr>
      <t xml:space="preserve">光伏 </t>
    </r>
    <r>
      <rPr>
        <sz val="10"/>
        <rFont val="Arial"/>
        <family val="0"/>
        <charset val="1"/>
      </rPr>
      <t xml:space="preserve">test
(clustered bars)</t>
    </r>
  </si>
  <si>
    <t xml:space="preserve">Net profit RMB bn: CATL vs LONGi vs Tongwei, 2023-2025; gross margin vs PV majors</t>
  </si>
  <si>
    <t xml:space="preserve">Same 'Chinese green manufacturing' label, opposite outcome. PV went to deep losses; CATL's margin held ~24-25% and profit tripled. Concentration (40% share) not fragmentation is why.</t>
  </si>
  <si>
    <t xml:space="preserve">04_Not_Solar</t>
  </si>
  <si>
    <t xml:space="preserve">5</t>
  </si>
  <si>
    <t xml:space="preserve">The ESS option nobody prices
(area + share line)</t>
  </si>
  <si>
    <t xml:space="preserve">Global ESS battery shipments GWh with CATL share; ESS as % of CATL revenue vs 2030 target</t>
  </si>
  <si>
    <t xml:space="preserve">ESS shipments +71% globally, CATL +81%, and ESS is 19% of revenue heading to a company-guided ~50% by 2030. Data centre = the next leg, already funded.</t>
  </si>
  <si>
    <t xml:space="preserve">05_ESS_DataCentre</t>
  </si>
  <si>
    <t xml:space="preserve">6</t>
  </si>
  <si>
    <t xml:space="preserve">Compounding + capital return
(bars + line)</t>
  </si>
  <si>
    <t xml:space="preserve">Revenue / net profit / OCF / dividend by year, with gross margin and payout</t>
  </si>
  <si>
    <t xml:space="preserve">3 straight years at ~50% payout, RMB 372bn cash, RMB 20-40bn buyback just announced. A white horse that is currently cheaper than its own history on 2026E.</t>
  </si>
  <si>
    <t xml:space="preserve">06_Compounding</t>
  </si>
  <si>
    <t xml:space="preserve">HOW TO USE</t>
  </si>
  <si>
    <t xml:space="preserve">•  Every tab has a clean rectangular block starting at row 6 — select it and insert a chart directly, no cleaning needed.</t>
  </si>
  <si>
    <t xml:space="preserve">•  BLUE cells = hardcoded numbers taken from a named source.  BLACK cells = formulas that recalculate.  YELLOW = the number to put on the slide.</t>
  </si>
  <si>
    <t xml:space="preserve">•  'Flag' columns mark E = estimate, F = forecast, D = derived. Anything flagged, either footnote it on the slide or drop the point.</t>
  </si>
  <si>
    <t xml:space="preserve">•  07_Appendix holds valuation, KPIs and the bear-case rebuttals — keep it out of the two slides, use it in Q&amp;A.</t>
  </si>
  <si>
    <t xml:space="preserve">•  08_Sources has every URL. Put a single line of source attribution at the foot of each slide.</t>
  </si>
  <si>
    <t xml:space="preserve">ON YOUR ORIGINAL PLAN — what I kept, changed, and dropped</t>
  </si>
  <si>
    <t xml:space="preserve">KEPT</t>
  </si>
  <si>
    <r>
      <rPr>
        <sz val="10"/>
        <rFont val="Arial"/>
        <family val="0"/>
        <charset val="1"/>
      </rPr>
      <t xml:space="preserve">China NEV/ICE monthly mix, global share, multi-stream revenue with no US reliance, ESS + data centre, the </t>
    </r>
    <r>
      <rPr>
        <sz val="10"/>
        <rFont val="Noto Sans CJK SC"/>
        <family val="2"/>
      </rPr>
      <t xml:space="preserve">光伏 </t>
    </r>
    <r>
      <rPr>
        <sz val="10"/>
        <rFont val="Arial"/>
        <family val="0"/>
        <charset val="1"/>
      </rPr>
      <t xml:space="preserve">comparison. All six are in.</t>
    </r>
  </si>
  <si>
    <t xml:space="preserve">CHANGED</t>
  </si>
  <si>
    <t xml:space="preserve">Your slide 1 opened on demand. It now opens on the DECOUPLING — China NEV retail is down 13% YTD, and any sharp listener will say that first. Chart 1 answers it before it is asked: the mix, not the volume, is the point, and CATL's own volume grows off exports + ex-China + ESS.</t>
  </si>
  <si>
    <t xml:space="preserve">'White horse / low volatility' is a conclusion, not a chart. It is now the OUTPUT of chart 6 (margin stability + payout + cash) rather than an assertion. Charts should earn the adjective.</t>
  </si>
  <si>
    <t xml:space="preserve">DROPPED</t>
  </si>
  <si>
    <t xml:space="preserve">'Government support' as its own chart. Policy is a footnote on the ESS chart (300 GW by 2030 target), not a slide. A policy chart reads as a risk to a Western allocator, not a moat.</t>
  </si>
  <si>
    <t xml:space="preserve">B2B-vs-B2C as a chart. It has no numbers behind it. It belongs in one spoken sentence over chart 4.</t>
  </si>
  <si>
    <t xml:space="preserve">CHART 1 — China new-car mix, month on month</t>
  </si>
  <si>
    <t xml:space="preserve">Stacked columns: NEV + ICE units (left axis).  Line: NEV penetration % (right axis).  Source: CPCA retail.</t>
  </si>
  <si>
    <t xml:space="preserve">Plot A6:D20 as stacked columns, E6:E20 as a line on the secondary axis</t>
  </si>
  <si>
    <t xml:space="preserve">CHART SOURCE — do not edit</t>
  </si>
  <si>
    <t xml:space="preserve">Month</t>
  </si>
  <si>
    <t xml:space="preserve">NEV retail
(000 units)</t>
  </si>
  <si>
    <t xml:space="preserve">Total PV retail
(000 units)</t>
  </si>
  <si>
    <t xml:space="preserve">ICE retail
(000 units)</t>
  </si>
  <si>
    <t xml:space="preserve">NEV penetration
(%)</t>
  </si>
  <si>
    <t xml:space="preserve">Flag</t>
  </si>
  <si>
    <t xml:space="preserve">Note</t>
  </si>
  <si>
    <t xml:space="preserve">NEV (000)</t>
  </si>
  <si>
    <t xml:space="preserve">ICE (000)</t>
  </si>
  <si>
    <t xml:space="preserve">NEV penetration</t>
  </si>
  <si>
    <t xml:space="preserve">Jul-25</t>
  </si>
  <si>
    <t xml:space="preserve">D</t>
  </si>
  <si>
    <t xml:space="preserve">PV total derived from published NEV 1,003k and published penetration 54.7%</t>
  </si>
  <si>
    <t xml:space="preserve">Aug-25</t>
  </si>
  <si>
    <t xml:space="preserve">PV total derived from published NEV 1,101k and published penetration 55.2%</t>
  </si>
  <si>
    <t xml:space="preserve">Sep-25</t>
  </si>
  <si>
    <t xml:space="preserve">Final NEV below prelim 1,307k; penetration 57.8% published</t>
  </si>
  <si>
    <t xml:space="preserve">Oct-25</t>
  </si>
  <si>
    <t xml:space="preserve">Penetration 57.2% published (cited in Nov release)</t>
  </si>
  <si>
    <t xml:space="preserve">Nov-25</t>
  </si>
  <si>
    <t xml:space="preserve">Both published: PV 2,225k, penetration 59.3%</t>
  </si>
  <si>
    <t xml:space="preserve">Dec-25</t>
  </si>
  <si>
    <t xml:space="preserve">Published NEV 1,337k, penetration 59.1%. Prelim had 1,387k / 60.4%</t>
  </si>
  <si>
    <t xml:space="preserve">Jan-26</t>
  </si>
  <si>
    <t xml:space="preserve">E</t>
  </si>
  <si>
    <t xml:space="preserve">NEV purchase tax moved from full exemption to half. CPCA called it the cyclical low</t>
  </si>
  <si>
    <t xml:space="preserve">Feb-26</t>
  </si>
  <si>
    <t xml:space="preserve">LOW CONFIDENCE. Derived from Mar being +82.6% MoM and Q1 PV of 4,226k. Chinese New Year fell late Feb. Consider footnoting or omitting this point</t>
  </si>
  <si>
    <t xml:space="preserve">Mar-26</t>
  </si>
  <si>
    <t xml:space="preserve">NEV revised up to 852k from 784k. Published penetration 51.8%</t>
  </si>
  <si>
    <t xml:space="preserve">Apr-26</t>
  </si>
  <si>
    <t xml:space="preserve">Both published. First month ever above 60%. ICE ties to CPCA's stated 530k</t>
  </si>
  <si>
    <t xml:space="preserve">May-26</t>
  </si>
  <si>
    <t xml:space="preserve">Both published. Record penetration. ICE -39% YoY</t>
  </si>
  <si>
    <t xml:space="preserve">Jun-26</t>
  </si>
  <si>
    <t xml:space="preserve">Published NEV 1,037k, penetration 62.8%</t>
  </si>
  <si>
    <t xml:space="preserve">Jul-26</t>
  </si>
  <si>
    <t xml:space="preserve">F</t>
  </si>
  <si>
    <t xml:space="preserve">CPCA forecast. Actual for Jul 1-26 ran at 65.7% penetration</t>
  </si>
  <si>
    <t xml:space="preserve">Feb-26 excluded from chart: CNY month, low-confidence estimate.</t>
  </si>
  <si>
    <t xml:space="preserve">THE NUMBER FOR THE SLIDE</t>
  </si>
  <si>
    <t xml:space="preserve">Metric</t>
  </si>
  <si>
    <t xml:space="preserve">Then</t>
  </si>
  <si>
    <t xml:space="preserve">Now</t>
  </si>
  <si>
    <t xml:space="preserve">Unit</t>
  </si>
  <si>
    <t xml:space="preserve">So what</t>
  </si>
  <si>
    <t xml:space="preserve">ICE retail, Oct-25 vs Jul-26</t>
  </si>
  <si>
    <t xml:space="preserve">000 units</t>
  </si>
  <si>
    <t xml:space="preserve">ICE volume roughly halved in nine months</t>
  </si>
  <si>
    <t xml:space="preserve">NEV penetration, Jul-25 vs Jul-26</t>
  </si>
  <si>
    <t xml:space="preserve">%</t>
  </si>
  <si>
    <t xml:space="preserve">+9.8pp in twelve months</t>
  </si>
  <si>
    <t xml:space="preserve">SUPPORTING — this is what makes chart 1 a BULL point and not a bear point</t>
  </si>
  <si>
    <t xml:space="preserve">Value</t>
  </si>
  <si>
    <t xml:space="preserve">Period</t>
  </si>
  <si>
    <t xml:space="preserve">Why it matters</t>
  </si>
  <si>
    <t xml:space="preserve">China passenger NEV retail</t>
  </si>
  <si>
    <t xml:space="preserve">H1 2026 YoY</t>
  </si>
  <si>
    <t xml:space="preserve">The bear case. Domestic NEV units are FALLING.</t>
  </si>
  <si>
    <t xml:space="preserve">China NEV exports</t>
  </si>
  <si>
    <t xml:space="preserve">2.42m units. The volume left China, it did not disappear.</t>
  </si>
  <si>
    <t xml:space="preserve">China total vehicle exports</t>
  </si>
  <si>
    <t xml:space="preserve">5.31m units in H1.</t>
  </si>
  <si>
    <t xml:space="preserve">NEV share of China PV exports</t>
  </si>
  <si>
    <t xml:space="preserve">May 2026</t>
  </si>
  <si>
    <t xml:space="preserve">Record. Exports are now majority-electric.</t>
  </si>
  <si>
    <t xml:space="preserve">CATL battery installations</t>
  </si>
  <si>
    <t xml:space="preserve">242.7 GWh. Up 25% while its home retail market fell 13%.</t>
  </si>
  <si>
    <t xml:space="preserve">CATL revenue</t>
  </si>
  <si>
    <t xml:space="preserve">The decoupling, in one number.</t>
  </si>
  <si>
    <t xml:space="preserve">Optional second panel: plot the last two rows against each other as a two-line 'decoupling' chart. It is the single most persuasive image in the deck.</t>
  </si>
  <si>
    <t xml:space="preserve">Sources: CPCA monthly releases via CnEVPost / Gasgoo; SNE Research; CATL H1 2026 interim report. Full URLs in 08_Sources.</t>
  </si>
  <si>
    <t xml:space="preserve">H1-2026 YoY</t>
  </si>
  <si>
    <t xml:space="preserve">China NEV retail units</t>
  </si>
  <si>
    <t xml:space="preserve">CATL installations</t>
  </si>
  <si>
    <t xml:space="preserve">CHART 2 — Global EV battery share: consolidating, not eroding</t>
  </si>
  <si>
    <t xml:space="preserve">Panel A: horizontal bar of H1-26 share. Panel B: YoY change in pp — this is the panel that matters. Source: SNE Research.</t>
  </si>
  <si>
    <t xml:space="preserve">PANEL A + B — plot A6:A17 with C6:C17 (bar), then A6:A17 with F6:F17 (delta bar)</t>
  </si>
  <si>
    <t xml:space="preserve">Company</t>
  </si>
  <si>
    <t xml:space="preserve">H1-25
(GWh)</t>
  </si>
  <si>
    <t xml:space="preserve">H1-26
(GWh)</t>
  </si>
  <si>
    <t xml:space="preserve">H1-25
share</t>
  </si>
  <si>
    <t xml:space="preserve">H1-26
share</t>
  </si>
  <si>
    <t xml:space="preserve">Change
(pp)</t>
  </si>
  <si>
    <t xml:space="preserve">Volume
YoY</t>
  </si>
  <si>
    <t xml:space="preserve">H1-26 share</t>
  </si>
  <si>
    <t xml:space="preserve">Change vs H1-25 (pp)</t>
  </si>
  <si>
    <t xml:space="preserve">CATL</t>
  </si>
  <si>
    <t xml:space="preserve">Gained share in a market growing 20%. Ninth straight year at No.1</t>
  </si>
  <si>
    <t xml:space="preserve">BYD</t>
  </si>
  <si>
    <t xml:space="preserve">Volume flat. Lost 2.6pp — the largest decline of any top-10 player</t>
  </si>
  <si>
    <t xml:space="preserve">LG Energy Solution</t>
  </si>
  <si>
    <t xml:space="preserve">Grew 8% but below market, so share fell</t>
  </si>
  <si>
    <t xml:space="preserve">CALB</t>
  </si>
  <si>
    <t xml:space="preserve">Fastest-growing of the Chinese mid-tier</t>
  </si>
  <si>
    <t xml:space="preserve">Gotion High-tech</t>
  </si>
  <si>
    <t xml:space="preserve">Panasonic</t>
  </si>
  <si>
    <t xml:space="preserve">Structurally tied to a slowing North America</t>
  </si>
  <si>
    <t xml:space="preserve">Eve Energy</t>
  </si>
  <si>
    <t xml:space="preserve">SK On</t>
  </si>
  <si>
    <t xml:space="preserve">Only top-10 player with falling volume, -6.7%</t>
  </si>
  <si>
    <t xml:space="preserve">Svolt Energy</t>
  </si>
  <si>
    <t xml:space="preserve">Sunwoda</t>
  </si>
  <si>
    <t xml:space="preserve">All others</t>
  </si>
  <si>
    <t xml:space="preserve">Balance to global total</t>
  </si>
  <si>
    <t xml:space="preserve">GLOBAL TOTAL</t>
  </si>
  <si>
    <t xml:space="preserve">H1-26 published at 608.5 GWh, +20.0% YoY. H1-25 derived from that growth rate.</t>
  </si>
  <si>
    <t xml:space="preserve">PANEL C — the part investors miss: OUTSIDE China is where the share gain is</t>
  </si>
  <si>
    <t xml:space="preserve">H1-25</t>
  </si>
  <si>
    <t xml:space="preserve">H1-26</t>
  </si>
  <si>
    <t xml:space="preserve">Change</t>
  </si>
  <si>
    <t xml:space="preserve">Global market ex-China</t>
  </si>
  <si>
    <t xml:space="preserve">GWh</t>
  </si>
  <si>
    <t xml:space="preserve">Ex-China grew 26%, faster than the global 20%</t>
  </si>
  <si>
    <t xml:space="preserve">CATL installations ex-China</t>
  </si>
  <si>
    <t xml:space="preserve">+41.7% — CATL's fastest-growing geography</t>
  </si>
  <si>
    <t xml:space="preserve">CATL share ex-China</t>
  </si>
  <si>
    <t xml:space="preserve">Published as 30.0% -&gt; 33.6%. This is the single best slide-1 number.</t>
  </si>
  <si>
    <t xml:space="preserve">PANEL D — CATL share through time (optional small multiple)</t>
  </si>
  <si>
    <t xml:space="preserve">Global share</t>
  </si>
  <si>
    <t xml:space="preserve">Ex-China share</t>
  </si>
  <si>
    <t xml:space="preserve">China PV share</t>
  </si>
  <si>
    <t xml:space="preserve">FY2023</t>
  </si>
  <si>
    <t xml:space="preserve">SNE Research</t>
  </si>
  <si>
    <t xml:space="preserve">FY2024</t>
  </si>
  <si>
    <t xml:space="preserve">FY2025</t>
  </si>
  <si>
    <t xml:space="preserve">Ninth consecutive year as global No.1</t>
  </si>
  <si>
    <t xml:space="preserve">H1-2026</t>
  </si>
  <si>
    <t xml:space="preserve">China share is CABIA passenger-vehicle installations, +5.6pp YoY. Ternary segment 75.2%</t>
  </si>
  <si>
    <t xml:space="preserve">Seven Chinese firms hold 72.4% of the global market, up 1.5pp YoY. The gap between CATL and the No.3 player is over 31pp and widening.</t>
  </si>
  <si>
    <t xml:space="preserve">CATL share outside China</t>
  </si>
  <si>
    <t xml:space="preserve">CHART 3 — Four revenue streams, and almost no United States</t>
  </si>
  <si>
    <t xml:space="preserve">Panel A: stacked bar of segment revenue. Panel B: doughnut of geography with the US carved out.</t>
  </si>
  <si>
    <t xml:space="preserve">PANEL A — revenue by segment, H1-25 vs H1-26 (RMB bn). Plot A6:C10 as stacked bars</t>
  </si>
  <si>
    <t xml:space="preserve">Segment</t>
  </si>
  <si>
    <t xml:space="preserve">H1-25
(RMB bn)</t>
  </si>
  <si>
    <t xml:space="preserve">H1-26
(RMB bn)</t>
  </si>
  <si>
    <t xml:space="preserve">YoY</t>
  </si>
  <si>
    <t xml:space="preserve">H1-25
mix</t>
  </si>
  <si>
    <t xml:space="preserve">H1-26
mix</t>
  </si>
  <si>
    <t xml:space="preserve">H1-26 gross
margin</t>
  </si>
  <si>
    <t xml:space="preserve">H1-2025</t>
  </si>
  <si>
    <t xml:space="preserve">EV battery systems</t>
  </si>
  <si>
    <t xml:space="preserve">Still the base, but no longer the growth story</t>
  </si>
  <si>
    <t xml:space="preserve">Energy storage (ESS)</t>
  </si>
  <si>
    <t xml:space="preserve">Fastest growing AND the highest-margin volume business</t>
  </si>
  <si>
    <t xml:space="preserve">Battery materials, recycling &amp; minerals</t>
  </si>
  <si>
    <t xml:space="preserve">Margin up 5.8pp YoY. Recycling upgraded to a strategic pillar</t>
  </si>
  <si>
    <t xml:space="preserve">Materials, recycling &amp; minerals</t>
  </si>
  <si>
    <t xml:space="preserve">Battery swap, licensing &amp; other</t>
  </si>
  <si>
    <t xml:space="preserve">Derived as the balance. Includes the Ford US licensing royalty stream</t>
  </si>
  <si>
    <t xml:space="preserve">Swap, licensing &amp; other</t>
  </si>
  <si>
    <t xml:space="preserve">TOTAL REVENUE</t>
  </si>
  <si>
    <t xml:space="preserve">Published: 178.89 and 276.92. Blended GM 23.93%, down 1.09pp.</t>
  </si>
  <si>
    <t xml:space="preserve">PANEL B — geography, and the US carve-out. Plot A/B as a doughnut</t>
  </si>
  <si>
    <t xml:space="preserve">Geography</t>
  </si>
  <si>
    <t xml:space="preserve">Share of
revenue</t>
  </si>
  <si>
    <t xml:space="preserve">Gross
margin</t>
  </si>
  <si>
    <t xml:space="preserve">H1-2026 revenue (RMB bn)</t>
  </si>
  <si>
    <t xml:space="preserve">China domestic</t>
  </si>
  <si>
    <t xml:space="preserve">Two-thirds of revenue, lower margin</t>
  </si>
  <si>
    <t xml:space="preserve">Overseas ex-US</t>
  </si>
  <si>
    <t xml:space="preserve">Europe, Middle East, SE Asia, Australia. The growth engine</t>
  </si>
  <si>
    <t xml:space="preserve">United States (direct + indirect)</t>
  </si>
  <si>
    <t xml:space="preserve">~2-3% of battery sales per company guidance. This is the whole geopolitical point</t>
  </si>
  <si>
    <t xml:space="preserve">United States</t>
  </si>
  <si>
    <t xml:space="preserve">TOTAL</t>
  </si>
  <si>
    <t xml:space="preserve">US split is ESTIMATED. Published: overseas revenue RMB 87.13bn = 31.5% of total, +42.4% YoY, at a 29.97% gross margin vs 21.16% domestic. The ~2-3% US figure is management guidance on battery SALES volume (via Citi), applied to revenue here. Footnote this on the slide.</t>
  </si>
  <si>
    <t xml:space="preserve">PANEL C — overseas trend, and why the mix shift is margin-accretive</t>
  </si>
  <si>
    <t xml:space="preserve">Overseas revenue
(RMB bn)</t>
  </si>
  <si>
    <t xml:space="preserve">% of total</t>
  </si>
  <si>
    <t xml:space="preserve">Overseas GM</t>
  </si>
  <si>
    <t xml:space="preserve">Domestic GM</t>
  </si>
  <si>
    <t xml:space="preserve">Overseas mix peak</t>
  </si>
  <si>
    <t xml:space="preserve">+21.1% YoY</t>
  </si>
  <si>
    <t xml:space="preserve">+42.4% YoY. Overseas margin is 8.8pp ABOVE domestic</t>
  </si>
  <si>
    <t xml:space="preserve">PANEL D — the structural reason the US cannot hurt them much (no chart, use as a caption)</t>
  </si>
  <si>
    <t xml:space="preserve">•  Ford Michigan LFP plant: Ford owns the asset, CATL licenses the technology and takes a royalty (~10% of production value per industry estimates). No CATL equity, so FEOC rules are not triggered. Grandfathered under OBBBA.</t>
  </si>
  <si>
    <t xml:space="preserve">•  That structure converts a blocked market into a capital-light royalty. Trial production of the first prismatic LFP cells completed June 2026.</t>
  </si>
  <si>
    <t xml:space="preserve">•  New capacity is going to Hungary, Germany, Indonesia and Spain — not the US. Service network added 8 countries in H1 across Eastern Europe, Africa and South Asia.</t>
  </si>
  <si>
    <r>
      <rPr>
        <b val="true"/>
        <sz val="14"/>
        <color rgb="FFFFFFFF"/>
        <rFont val="Arial"/>
        <family val="0"/>
        <charset val="1"/>
      </rPr>
      <t xml:space="preserve">CHART 4 — The </t>
    </r>
    <r>
      <rPr>
        <b val="true"/>
        <sz val="14"/>
        <color rgb="FFFFFFFF"/>
        <rFont val="Noto Sans CJK SC"/>
        <family val="2"/>
      </rPr>
      <t xml:space="preserve">光伏 </t>
    </r>
    <r>
      <rPr>
        <b val="true"/>
        <sz val="14"/>
        <color rgb="FFFFFFFF"/>
        <rFont val="Arial"/>
        <family val="0"/>
        <charset val="1"/>
      </rPr>
      <t xml:space="preserve">test: same label, opposite outcome</t>
    </r>
  </si>
  <si>
    <t xml:space="preserve">Clustered columns, net profit RMB bn. CATL in one colour, the PV majors in grey. The visual does the whole argument.</t>
  </si>
  <si>
    <t xml:space="preserve">PANEL A — net profit, RMB bn. Plot A6:D10 as clustered columns</t>
  </si>
  <si>
    <t xml:space="preserve">Profit up 64% over the period the PV sector went to losses</t>
  </si>
  <si>
    <t xml:space="preserve">LONGi Green Energy</t>
  </si>
  <si>
    <t xml:space="preserve">FY2025 is the midpoint of guided -6.0 to -6.5bn</t>
  </si>
  <si>
    <t xml:space="preserve">Tongwei</t>
  </si>
  <si>
    <t xml:space="preserve">FY2024 was its first annual loss since listing. FY2025 also a loss</t>
  </si>
  <si>
    <t xml:space="preserve">Trina Solar</t>
  </si>
  <si>
    <t xml:space="preserve">H1-2025 alone: -2.92bn</t>
  </si>
  <si>
    <t xml:space="preserve">JA Solar</t>
  </si>
  <si>
    <t xml:space="preserve">H1-2025 alone: -2.58bn</t>
  </si>
  <si>
    <t xml:space="preserve">Tongwei FY2025 is an indicative loss; company guided to a loss, exact figure not published.</t>
  </si>
  <si>
    <t xml:space="preserve">Top four Chinese PV manufacturers lost a COMBINED RMB ~11bn in H1 2025 alone. CATL made RMB 30.5bn in the same half.</t>
  </si>
  <si>
    <t xml:space="preserve">PANEL B — gross margin: the reason the outcomes diverged</t>
  </si>
  <si>
    <t xml:space="preserve">Company / period</t>
  </si>
  <si>
    <t xml:space="preserve">Gross margin</t>
  </si>
  <si>
    <t xml:space="preserve">Blended</t>
  </si>
  <si>
    <t xml:space="preserve">Down only 1.09pp despite a full lithium price up-cycle</t>
  </si>
  <si>
    <t xml:space="preserve">CATL — ESS segment</t>
  </si>
  <si>
    <t xml:space="preserve">Higher than the EV segment</t>
  </si>
  <si>
    <t xml:space="preserve">CATL — materials &amp; recycling</t>
  </si>
  <si>
    <t xml:space="preserve">UP 5.81pp YoY</t>
  </si>
  <si>
    <t xml:space="preserve">JinkoSolar</t>
  </si>
  <si>
    <t xml:space="preserve">And 3.6% in Q4-2024 alone</t>
  </si>
  <si>
    <t xml:space="preserve">Below cash cost across much of the value chain</t>
  </si>
  <si>
    <t xml:space="preserve">PANEL C — WHY they diverged. This is the actual argument; put it as three labels on the chart</t>
  </si>
  <si>
    <t xml:space="preserve">Structural factor</t>
  </si>
  <si>
    <t xml:space="preserve">Chinese PV majors</t>
  </si>
  <si>
    <t xml:space="preserve">Why it decides the outcome</t>
  </si>
  <si>
    <t xml:space="preserve">Market share of the leader</t>
  </si>
  <si>
    <t xml:space="preserve">39.9% global</t>
  </si>
  <si>
    <t xml:space="preserve">~10-15%, fragmented</t>
  </si>
  <si>
    <t xml:space="preserve">PV had no price setter. Batteries have one. Concentration is the whole difference.</t>
  </si>
  <si>
    <t xml:space="preserve">Capacity utilisation</t>
  </si>
  <si>
    <t xml:space="preserve">94.9% (H1-26)</t>
  </si>
  <si>
    <t xml:space="preserve">Chronic oversupply</t>
  </si>
  <si>
    <t xml:space="preserve">CATL runs full while competitors idle. Utilisation is what converts scale into margin.</t>
  </si>
  <si>
    <t xml:space="preserve">R&amp;D spend</t>
  </si>
  <si>
    <t xml:space="preserve">RMB 22.1bn FY25</t>
  </si>
  <si>
    <t xml:space="preserve">A fraction of that</t>
  </si>
  <si>
    <t xml:space="preserve">PV competes on a commoditised cell. CATL competes on chemistry it owns — Qilin, Shenxing, Freevoy, sodium-ion.</t>
  </si>
  <si>
    <t xml:space="preserve">Product differentiation</t>
  </si>
  <si>
    <t xml:space="preserve">Ternary share 75.2% in China</t>
  </si>
  <si>
    <t xml:space="preserve">Panels are interchangeable</t>
  </si>
  <si>
    <t xml:space="preserve">A module is a commodity. A fast-charge pack qualified into a car platform is a 5-7 year lock-in.</t>
  </si>
  <si>
    <t xml:space="preserve">Vertical integration</t>
  </si>
  <si>
    <t xml:space="preserve">Mines to recycling to swap to data-centre power</t>
  </si>
  <si>
    <t xml:space="preserve">Mostly midstream only</t>
  </si>
  <si>
    <t xml:space="preserve">Diversified downstream into places competitors do not reach — which is the point you wanted to make.</t>
  </si>
  <si>
    <t xml:space="preserve">Balance sheet</t>
  </si>
  <si>
    <t xml:space="preserve">RMB 372bn cash</t>
  </si>
  <si>
    <t xml:space="preserve">Impairments, insolvencies</t>
  </si>
  <si>
    <t xml:space="preserve">CATL can fund the down-cycle and buy the assets. Varta already filed for insolvency.</t>
  </si>
  <si>
    <t xml:space="preserve">Spoken line over this chart: 'It looks like solar and it is priced a little like solar. It is not solar, because solar never had a 40% share player who set price.'</t>
  </si>
  <si>
    <t xml:space="preserve">Fair-minded caveat to have ready: Beijing's 2026 anti-involution campaign explicitly targets power batteries alongside PV. That is a risk to industry pricing — but it consolidates around the leader, which is CATL.</t>
  </si>
  <si>
    <t xml:space="preserve">CATL H1-26</t>
  </si>
  <si>
    <t xml:space="preserve">CATL ESS</t>
  </si>
  <si>
    <t xml:space="preserve">CATL materials</t>
  </si>
  <si>
    <t xml:space="preserve">JinkoSolar FY24</t>
  </si>
  <si>
    <t xml:space="preserve">LONGi FY24</t>
  </si>
  <si>
    <t xml:space="preserve">CHART 5 — The ESS option: 19% of revenue today, company-guided ~50% by 2030</t>
  </si>
  <si>
    <t xml:space="preserve">Panel A: columns of global ESS shipments with CATL share as a line. Panel B: ESS as % of CATL revenue, with the 2030 target.</t>
  </si>
  <si>
    <t xml:space="preserve">PANEL A — global ESS battery shipments and CATL's slice. Plot A6:C9 columns + D as line</t>
  </si>
  <si>
    <t xml:space="preserve">Global ESS shipments
(GWh)</t>
  </si>
  <si>
    <t xml:space="preserve">CATL shipments
(GWh)</t>
  </si>
  <si>
    <t xml:space="preserve">CATL share</t>
  </si>
  <si>
    <t xml:space="preserve">Global YoY</t>
  </si>
  <si>
    <t xml:space="preserve">Year</t>
  </si>
  <si>
    <t xml:space="preserve">Global BESS systems shipped (GWh)</t>
  </si>
  <si>
    <t xml:space="preserve">ESS as % of CATL revenue</t>
  </si>
  <si>
    <t xml:space="preserve">SNE Research. CATL derived from published +81% growth</t>
  </si>
  <si>
    <t xml:space="preserve">2024</t>
  </si>
  <si>
    <t xml:space="preserve">Published: global +71%, CATL +81%, CATL share 27.1% vs 25.6%</t>
  </si>
  <si>
    <t xml:space="preserve">2025</t>
  </si>
  <si>
    <t xml:space="preserve">2026F</t>
  </si>
  <si>
    <t xml:space="preserve">Alternative series if you prefer a longer runway (InfoLink, BESS systems shipped)</t>
  </si>
  <si>
    <t xml:space="preserve">FY2030 target</t>
  </si>
  <si>
    <t xml:space="preserve">BESS systems shipped
(GWh)</t>
  </si>
  <si>
    <t xml:space="preserve">Cells shipped
(GWh)</t>
  </si>
  <si>
    <t xml:space="preserve">Deployments
(GWh)</t>
  </si>
  <si>
    <t xml:space="preserve">YoY (systems)</t>
  </si>
  <si>
    <t xml:space="preserve">Derived from published 2025 growth rates</t>
  </si>
  <si>
    <t xml:space="preserve">Systems +75.5%, cells nearly doubled, deployments +61.3%</t>
  </si>
  <si>
    <t xml:space="preserve">2026</t>
  </si>
  <si>
    <t xml:space="preserve">InfoLink forecast. BNEF has deployments at ~459 GWh</t>
  </si>
  <si>
    <t xml:space="preserve">PANEL B — ESS as a share of CATL's own revenue. This is the re-rating chart</t>
  </si>
  <si>
    <t xml:space="preserve">ESS revenue
(RMB bn)</t>
  </si>
  <si>
    <t xml:space="preserve">Total revenue
(RMB bn)</t>
  </si>
  <si>
    <t xml:space="preserve">ESS % of
revenue</t>
  </si>
  <si>
    <t xml:space="preserve">ESS gross
margin</t>
  </si>
  <si>
    <t xml:space="preserve">ESS was 15.8% of revenue. Segment gross margin not separately disclosed for FY2024.</t>
  </si>
  <si>
    <t xml:space="preserve">Revenue +87.5%. Margin still above the EV segment's 20.63%</t>
  </si>
  <si>
    <t xml:space="preserve">Company told Reuters in June 2026 it expects ESS to be ~HALF of global sales by 2030</t>
  </si>
  <si>
    <t xml:space="preserve">PANEL C — the demand that gets it there. Use 2-3 of these as callouts, not a chart</t>
  </si>
  <si>
    <t xml:space="preserve">Driver</t>
  </si>
  <si>
    <t xml:space="preserve">Now / target</t>
  </si>
  <si>
    <t xml:space="preserve">China new-type storage installed</t>
  </si>
  <si>
    <t xml:space="preserve">GW</t>
  </si>
  <si>
    <t xml:space="preserve">3 GW in 2020 -&gt; 136 GW end-2025 -&gt; 153 GW at Jun-2026, +61% YoY</t>
  </si>
  <si>
    <t xml:space="preserve">China 2030 target (15th FYP)</t>
  </si>
  <si>
    <t xml:space="preserve">Set jointly by NDRC and NEA, June 2026. Roughly a doubling from here</t>
  </si>
  <si>
    <t xml:space="preserve">US additions</t>
  </si>
  <si>
    <t xml:space="preserve">2025 actual vs 2026 forecast. Q1-26 ran +32% YoY at 9.7 GWh</t>
  </si>
  <si>
    <t xml:space="preserve">Europe additions</t>
  </si>
  <si>
    <t xml:space="preserve">2025 vs 2026 forecast</t>
  </si>
  <si>
    <t xml:space="preserve">Global BESS capacity CAGR to 2030</t>
  </si>
  <si>
    <t xml:space="preserve">GlobalData: sixfold growth 2025-2030, explicitly driven by AI data centre load</t>
  </si>
  <si>
    <t xml:space="preserve">PANEL D — data centre: CATL has already spent the money. Use as a timeline strip</t>
  </si>
  <si>
    <t xml:space="preserve">Date</t>
  </si>
  <si>
    <t xml:space="preserve">Asset</t>
  </si>
  <si>
    <t xml:space="preserve">Size</t>
  </si>
  <si>
    <t xml:space="preserve">Stake</t>
  </si>
  <si>
    <t xml:space="preserve">What it buys</t>
  </si>
  <si>
    <t xml:space="preserve">Apr-2026</t>
  </si>
  <si>
    <t xml:space="preserve">Hangzhou Zhongheng Technology Investment</t>
  </si>
  <si>
    <t xml:space="preserve">HVDC power systems for data centres. Serves Alibaba and Tencent. 800V DC product line</t>
  </si>
  <si>
    <t xml:space="preserve">May-2026</t>
  </si>
  <si>
    <t xml:space="preserve">VNET Group (NASDAQ: VNET)</t>
  </si>
  <si>
    <t xml:space="preserve">China's first US-listed IDC operator. 50+ facilities, 30 cities, 889 MW. Closing Q4-2026</t>
  </si>
  <si>
    <t xml:space="preserve">Jun-2026</t>
  </si>
  <si>
    <t xml:space="preserve">DeepSeek (first external round)</t>
  </si>
  <si>
    <t xml:space="preserve">Reported, not confirmed by CATL. Round raised &gt;RMB 50bn at a &gt;$50bn valuation</t>
  </si>
  <si>
    <t xml:space="preserve">TOTAL COMMITTED</t>
  </si>
  <si>
    <t xml:space="preserve">RMB bn</t>
  </si>
  <si>
    <t xml:space="preserve">~RMB 10.5bn confirmed (Zhongheng + VNET); ~RMB 15.5bn including the reported DeepSeek stake.</t>
  </si>
  <si>
    <t xml:space="preserve">Chairman Robin Zeng has framed standalone energy systems for data centres and cities as a 'ten times' larger opportunity than EV battery supply. Treat that as management ambition, not a forecast — but it is why the ESS line is an option, not just a segment.</t>
  </si>
  <si>
    <t xml:space="preserve">China new-type storage (GW)</t>
  </si>
  <si>
    <t xml:space="preserve">2020</t>
  </si>
  <si>
    <t xml:space="preserve">2030 target</t>
  </si>
  <si>
    <t xml:space="preserve">CHART 6 — Compounding earnings, ~50% payout, fortress balance sheet</t>
  </si>
  <si>
    <t xml:space="preserve">Columns: revenue and net profit. Line: gross margin. Then the capital return panel underneath.</t>
  </si>
  <si>
    <t xml:space="preserve">PANEL A — the P&amp;L record. Plot A6:A11 with B/C as columns and F as a line</t>
  </si>
  <si>
    <t xml:space="preserve">Revenue
(RMB bn)</t>
  </si>
  <si>
    <t xml:space="preserve">Net profit
(RMB bn)</t>
  </si>
  <si>
    <t xml:space="preserve">Operating cash flow
(RMB bn)</t>
  </si>
  <si>
    <t xml:space="preserve">Battery sales
(GWh)</t>
  </si>
  <si>
    <t xml:space="preserve">Net
margin</t>
  </si>
  <si>
    <t xml:space="preserve">Revenue (RMB bn)</t>
  </si>
  <si>
    <t xml:space="preserve">Net profit (RMB bn)</t>
  </si>
  <si>
    <t xml:space="preserve">Net margin</t>
  </si>
  <si>
    <t xml:space="preserve">Quarter</t>
  </si>
  <si>
    <t xml:space="preserve">Q1-25</t>
  </si>
  <si>
    <t xml:space="preserve">Revenue FELL 9.7% on lower lithium pass-through, profit still rose 15%</t>
  </si>
  <si>
    <t xml:space="preserve">Q2-25</t>
  </si>
  <si>
    <t xml:space="preserve">Profit +42%. OCF +37%. More profit than 13 listed Chinese carmakers combined</t>
  </si>
  <si>
    <t xml:space="preserve">Q3-25</t>
  </si>
  <si>
    <t xml:space="preserve">Q4-25</t>
  </si>
  <si>
    <t xml:space="preserve">Revenue +54.8%, profit +42.0%. Output 498 GWh at 94.9% utilisation</t>
  </si>
  <si>
    <t xml:space="preserve">Q1-26</t>
  </si>
  <si>
    <t xml:space="preserve">FY2024 OCF and FY2023 net profit are derived from published growth rates (+37.35% and +15.01% respectively).</t>
  </si>
  <si>
    <t xml:space="preserve">Q2-26</t>
  </si>
  <si>
    <t xml:space="preserve">PANEL B — capital return. This is where 'white horse' stops being an adjective</t>
  </si>
  <si>
    <t xml:space="preserve">Dividend
(RMB bn)</t>
  </si>
  <si>
    <t xml:space="preserve">Payout
ratio</t>
  </si>
  <si>
    <t xml:space="preserve">DPS
(RMB/10 sh)</t>
  </si>
  <si>
    <t xml:space="preserve">Stated policy: ~50% of net profit, three consecutive years</t>
  </si>
  <si>
    <t xml:space="preserve">Cumulative dividends approaching RMB 100bn</t>
  </si>
  <si>
    <t xml:space="preserve">H1-2026 interim</t>
  </si>
  <si>
    <t xml:space="preserve">Interim only, 15% of H1 profit. Final still to come</t>
  </si>
  <si>
    <t xml:space="preserve">PANEL C — balance sheet and the buyback. Use as three big numbers, no chart needed</t>
  </si>
  <si>
    <t xml:space="preserve">As of</t>
  </si>
  <si>
    <t xml:space="preserve">Cash and equivalents</t>
  </si>
  <si>
    <t xml:space="preserve">30-Jun-2026</t>
  </si>
  <si>
    <t xml:space="preserve">~US$52bn. Larger than most of its listed competitors combined</t>
  </si>
  <si>
    <t xml:space="preserve">Share buyback announced</t>
  </si>
  <si>
    <t xml:space="preserve">Jul-2026</t>
  </si>
  <si>
    <t xml:space="preserve">RMB 20-40bn range, ~10.75% of cash. Largest A-share buyback of its kind</t>
  </si>
  <si>
    <t xml:space="preserve">Total assets</t>
  </si>
  <si>
    <t xml:space="preserve">+16.8% vs year-end 2025</t>
  </si>
  <si>
    <t xml:space="preserve">Debt to assets</t>
  </si>
  <si>
    <t xml:space="preserve">Flatters to the downside: much of this is customer prepayments and payables, not borrowings</t>
  </si>
  <si>
    <t xml:space="preserve">Weighted ROE</t>
  </si>
  <si>
    <t xml:space="preserve">+0.45pp YoY</t>
  </si>
  <si>
    <t xml:space="preserve">H1-2026 alone RMB 11.38bn, +12.7%</t>
  </si>
  <si>
    <t xml:space="preserve">FY2025 was 96.9%. Effectively sold out</t>
  </si>
  <si>
    <t xml:space="preserve">PANEL D — quarterly consistency (the actual evidence for 'steady through volatile markets')</t>
  </si>
  <si>
    <t xml:space="preserve">YoY profit
growth</t>
  </si>
  <si>
    <t xml:space="preserve">Q1-2025</t>
  </si>
  <si>
    <t xml:space="preserve">Q2-2025</t>
  </si>
  <si>
    <t xml:space="preserve">Q3-2025</t>
  </si>
  <si>
    <t xml:space="preserve">Derived as FY less H1 less Q4</t>
  </si>
  <si>
    <t xml:space="preserve">Q4-2025</t>
  </si>
  <si>
    <t xml:space="preserve">Q1-2026</t>
  </si>
  <si>
    <t xml:space="preserve">Q2-2026</t>
  </si>
  <si>
    <t xml:space="preserve">Derived as H1 less Q1</t>
  </si>
  <si>
    <t xml:space="preserve">Six straight quarters of sequential profit growth apart from the normal Q1 seasonal step-down. That is the white-horse claim, evidenced.</t>
  </si>
  <si>
    <t xml:space="preserve">Dividend (RMB bn)</t>
  </si>
  <si>
    <t xml:space="preserve">APPENDIX — valuation and the four questions you will actually get asked</t>
  </si>
  <si>
    <t xml:space="preserve">Keep all of this OFF the two slides. This is the back pocket.</t>
  </si>
  <si>
    <t xml:space="preserve">VALUATION — verify prices on the day you present, these move</t>
  </si>
  <si>
    <t xml:space="preserve">A-share (300750.SZ)</t>
  </si>
  <si>
    <t xml:space="preserve">H-share (3750.HK)</t>
  </si>
  <si>
    <t xml:space="preserve">Recent price</t>
  </si>
  <si>
    <t xml:space="preserve">RMB ~454 (Apr-26 record)</t>
  </si>
  <si>
    <t xml:space="preserve">HK$ ~625-650 (early Aug-26)</t>
  </si>
  <si>
    <t xml:space="preserve">H-share 52wk high HK$794.5</t>
  </si>
  <si>
    <t xml:space="preserve">Market cap</t>
  </si>
  <si>
    <t xml:space="preserve">RMB ~2.0tn / US$271bn</t>
  </si>
  <si>
    <t xml:space="preserve">World's ~58th largest listed company</t>
  </si>
  <si>
    <t xml:space="preserve">P/E, trailing</t>
  </si>
  <si>
    <t xml:space="preserve">~28x</t>
  </si>
  <si>
    <t xml:space="preserve">~30x</t>
  </si>
  <si>
    <t xml:space="preserve">On FY2025 EPS of ~RMB 15.9</t>
  </si>
  <si>
    <t xml:space="preserve">P/E, 2026E</t>
  </si>
  <si>
    <t xml:space="preserve">~16-19x</t>
  </si>
  <si>
    <t xml:space="preserve">~22x</t>
  </si>
  <si>
    <t xml:space="preserve">CLSA put A-shares ~0.5 SD below historical average</t>
  </si>
  <si>
    <t xml:space="preserve">Historical average P/E</t>
  </si>
  <si>
    <t xml:space="preserve">~19x</t>
  </si>
  <si>
    <t xml:space="preserve">CLSA, measured over the previous down-cycle</t>
  </si>
  <si>
    <t xml:space="preserve">P/B</t>
  </si>
  <si>
    <t xml:space="preserve">~6.7-6.9x</t>
  </si>
  <si>
    <t xml:space="preserve">A/H relationship</t>
  </si>
  <si>
    <t xml:space="preserve">H at ~38% PREMIUM to A</t>
  </si>
  <si>
    <t xml:space="preserve">Very unusual. Almost every A+H pair trades H at a discount. Reflects offshore scarcity of the asset</t>
  </si>
  <si>
    <t xml:space="preserve">Consensus EPS CAGR 25-27E</t>
  </si>
  <si>
    <t xml:space="preserve">31%</t>
  </si>
  <si>
    <t xml:space="preserve">CLSA</t>
  </si>
  <si>
    <t xml:space="preserve">Broker targets</t>
  </si>
  <si>
    <t xml:space="preserve">RMB 445-520</t>
  </si>
  <si>
    <t xml:space="preserve">HK$580-770</t>
  </si>
  <si>
    <t xml:space="preserve">CICC, JPM, UBS, CLSA</t>
  </si>
  <si>
    <t xml:space="preserve">The pitch in one sentence: mid-to-high teens 2026E earnings on the A-line, for a business compounding EPS at ~30% with a 40% share, ~50% payout and an unpriced ESS option.</t>
  </si>
  <si>
    <t xml:space="preserve">THE FOUR PUSHBACKS — have the number, not the adjective</t>
  </si>
  <si>
    <t xml:space="preserve">Objection</t>
  </si>
  <si>
    <t xml:space="preserve">Answer</t>
  </si>
  <si>
    <t xml:space="preserve">Evidence</t>
  </si>
  <si>
    <t xml:space="preserve">"China EV demand is rolling over."</t>
  </si>
  <si>
    <t xml:space="preserve">Correct, and irrelevant to the earnings. Domestic NEV retail -13% in H1 while CATL installations rose 25% and revenue rose 55%. The volume moved to exports (+70%), ex-China share (30.0%-&gt;33.6%) and ESS (+81%).</t>
  </si>
  <si>
    <t xml:space="preserve">Chart 1 + Chart 2</t>
  </si>
  <si>
    <t xml:space="preserve">"Margins are compressing."</t>
  </si>
  <si>
    <t xml:space="preserve">Blended GM fell 1.09pp to 23.93% and Q2 stepped down to 23.15%. That is real. But it is lithium-price pass-through in an up-cycle, not competitive erosion — share ROSE at the same time, and materials/recycling margin went UP 5.8pp. Watch it; do not confuse it with the PV pattern.</t>
  </si>
  <si>
    <t xml:space="preserve">This is the honest weak spot. Say it before they do.</t>
  </si>
  <si>
    <t xml:space="preserve">"It's a Chinese policy asset."</t>
  </si>
  <si>
    <t xml:space="preserve">It received &gt;US$500m of subsidies in H1-2024 and government subsidies fell RMB 1.47bn YoY in H1-26 — profit grew 42% anyway. And 31.5% of revenue is overseas at a HIGHER margin than domestic.</t>
  </si>
  <si>
    <t xml:space="preserve">Chart 3</t>
  </si>
  <si>
    <t xml:space="preserve">"US policy risk."</t>
  </si>
  <si>
    <t xml:space="preserve">~2-3% of battery sales touch the US, direct and indirect. The Ford relationship is a licence and royalty with no CATL equity, deliberately structured outside FEOC. The risk is mostly already realised and mostly already routed around.</t>
  </si>
  <si>
    <t xml:space="preserve">Chart 3, Panel D</t>
  </si>
  <si>
    <t xml:space="preserve">"Anti-involution regulation."</t>
  </si>
  <si>
    <t xml:space="preserve">Beijing's 2026 campaign names power batteries. Read it the other way: administered price discipline in a market where you hold 40% share and 95% utilisation is a transfer of value TO the leader, from the tail.</t>
  </si>
  <si>
    <t xml:space="preserve">Chart 4, Panel C</t>
  </si>
  <si>
    <t xml:space="preserve">REAL RISKS — put one line of these on slide 2 or you will look promotional</t>
  </si>
  <si>
    <t xml:space="preserve">•  Lithium is in an up-cycle. CATL is partly hedged via Yichun and recycling, but a sharp spike compresses the EV segment before pricing catches up.</t>
  </si>
  <si>
    <t xml:space="preserve">•  H1-26 profit was flattered by nothing — but it absorbed a RMB 5.14bn FX swing and RMB 1.47bn lower subsidies. Reverse those and growth was even better; repeat them and it is worse.</t>
  </si>
  <si>
    <t xml:space="preserve">•  ESS pricing is falling: average unit price -3% QoQ to RMB 0.49/Wh. Volume is outrunning price. If that inverts, the ESS re-rating stalls.</t>
  </si>
  <si>
    <t xml:space="preserve">•  The data centre investments (VNET, DeepSeek) are capital allocation outside core competence. Cheap as an option, but not free.</t>
  </si>
  <si>
    <t xml:space="preserve">•  H-shares at a 38% premium to A-shares means the offshore line is where the crowding is. If you can access the A-line, that is the better entry.</t>
  </si>
  <si>
    <t xml:space="preserve">SOURCES</t>
  </si>
  <si>
    <t xml:space="preserve">All data retrieved 8 August 2026. Verify prices and any FY2026 figure on the day you present.</t>
  </si>
  <si>
    <t xml:space="preserve">Data</t>
  </si>
  <si>
    <t xml:space="preserve">Publisher</t>
  </si>
  <si>
    <t xml:space="preserve">URL</t>
  </si>
  <si>
    <t xml:space="preserve">01</t>
  </si>
  <si>
    <t xml:space="preserve">China monthly NEV/PV retail, penetration</t>
  </si>
  <si>
    <t xml:space="preserve">CPCA via CnEVPost</t>
  </si>
  <si>
    <t xml:space="preserve">https://cnevpost.com/2026/07/03/chinas-nev-retail-jun-cpca-preliminary-data/</t>
  </si>
  <si>
    <t xml:space="preserve">Jul 2026</t>
  </si>
  <si>
    <t xml:space="preserve">April 2026 penetration above 60%</t>
  </si>
  <si>
    <t xml:space="preserve">https://cnevpost.com/2026/05/11/china-apr-2026-nev-retail-sales/</t>
  </si>
  <si>
    <t xml:space="preserve">May 2026 record 62.9%, ICE -39%</t>
  </si>
  <si>
    <t xml:space="preserve">https://cnevpost.com/2026/06/08/china-may-nev-penetration-record-high-retail-decline/</t>
  </si>
  <si>
    <t xml:space="preserve">Jun 2026</t>
  </si>
  <si>
    <t xml:space="preserve">July 2026 partial, exports</t>
  </si>
  <si>
    <t xml:space="preserve">https://cnevpost.com/2026/07/29/china-nev-retail-first-26-days-jul-2026/</t>
  </si>
  <si>
    <t xml:space="preserve">Jan 2026 tax change, cyclical low</t>
  </si>
  <si>
    <t xml:space="preserve">https://cnevpost.com/2026/01/22/cpca-estimates-china-jan-nev-retail-800000/</t>
  </si>
  <si>
    <t xml:space="preserve">Jan 2026</t>
  </si>
  <si>
    <t xml:space="preserve">02</t>
  </si>
  <si>
    <t xml:space="preserve">Global EV battery share H1 2026</t>
  </si>
  <si>
    <t xml:space="preserve">SNE Research via CnEVPost</t>
  </si>
  <si>
    <t xml:space="preserve">https://cnevpost.com/2026/08/07/global-ev-battery-market-share-h1-2026/</t>
  </si>
  <si>
    <t xml:space="preserve">7 Aug 2026</t>
  </si>
  <si>
    <t xml:space="preserve">FY2025 share 39.2%</t>
  </si>
  <si>
    <t xml:space="preserve">SNE Research via electrive</t>
  </si>
  <si>
    <t xml:space="preserve">https://www.electrive.com/2026/02/04/sne-research-catl-continues-to-dominate-global-battery-market/</t>
  </si>
  <si>
    <t xml:space="preserve">Feb 2026</t>
  </si>
  <si>
    <t xml:space="preserve">China PV battery share 46.7%, ternary 75.2%</t>
  </si>
  <si>
    <t xml:space="preserve">CABIA via Gasgoo</t>
  </si>
  <si>
    <t xml:space="preserve">https://autonews.gasgoo.com/articles/news/catl-h1-2026-net-profit-leaps-4198-yoy-2081569461860540416</t>
  </si>
  <si>
    <t xml:space="preserve">03</t>
  </si>
  <si>
    <t xml:space="preserve">Segment and geographic revenue, margins</t>
  </si>
  <si>
    <t xml:space="preserve">CATL interim report via Energy-Storage.news</t>
  </si>
  <si>
    <t xml:space="preserve">https://www.energy-storage.news/energy-storage-generates-nearly-20-of-catls-revenues-in-first-half-of-2026/</t>
  </si>
  <si>
    <t xml:space="preserve">Overseas 31.5%, capacity, utilisation</t>
  </si>
  <si>
    <t xml:space="preserve">CATL via ESS News</t>
  </si>
  <si>
    <t xml:space="preserve">https://www.ess-news.com/2026/07/27/catl-storage-revenue-jumps-88-as-h1-profit-hits-cny-43-3-billion/</t>
  </si>
  <si>
    <t xml:space="preserve">US exposure ~2-3% of battery sales</t>
  </si>
  <si>
    <t xml:space="preserve">Citi via Dow Jones</t>
  </si>
  <si>
    <t xml:space="preserve">https://www.itiger.com/news/2527174864</t>
  </si>
  <si>
    <t xml:space="preserve">Apr 2025</t>
  </si>
  <si>
    <t xml:space="preserve">Ford licensing structure, FEOC</t>
  </si>
  <si>
    <t xml:space="preserve">ORF / carnewschina</t>
  </si>
  <si>
    <t xml:space="preserve">https://carnewschina.com/2026/06/30/catl-ford-tech-licensing-battery-plant-commences-production-in-the-u-s/</t>
  </si>
  <si>
    <t xml:space="preserve">04</t>
  </si>
  <si>
    <t xml:space="preserve">LONGi and Tongwei losses</t>
  </si>
  <si>
    <t xml:space="preserve">pv magazine</t>
  </si>
  <si>
    <t xml:space="preserve">https://www.pv-magazine.com/2026/01/23/chinese-pv-industry-brief-longi-tongwei-announce-sharp-losses-for-fiscal-2025/</t>
  </si>
  <si>
    <t xml:space="preserve">Top-4 PV combined H1-2025 losses</t>
  </si>
  <si>
    <t xml:space="preserve">PV Tech</t>
  </si>
  <si>
    <t xml:space="preserve">https://www.pv-tech.org/chinas-top-four-solar-manufacturers-suffer-1-54-billion-losses-h1-2025/</t>
  </si>
  <si>
    <t xml:space="preserve">Sep 2025</t>
  </si>
  <si>
    <t xml:space="preserve">JinkoSolar / LONGi FY2024 gross margins</t>
  </si>
  <si>
    <t xml:space="preserve">Enerdata</t>
  </si>
  <si>
    <t xml:space="preserve">https://www.enerdata.net/publications/executive-briefing/solar-pv-market-report-2025.html</t>
  </si>
  <si>
    <t xml:space="preserve">05</t>
  </si>
  <si>
    <t xml:space="preserve">Global ESS shipments H1 2026, CATL 27.1%</t>
  </si>
  <si>
    <t xml:space="preserve">SNE Research via Battery-Tech</t>
  </si>
  <si>
    <t xml:space="preserve">https://battery-tech.net/battery-markets-news/global-ess-battery-shipments-up-71-to-461-3-gwh-in-h1-2026/</t>
  </si>
  <si>
    <t xml:space="preserve">Aug 2026</t>
  </si>
  <si>
    <t xml:space="preserve">InfoLink BESS shipment and deployment series</t>
  </si>
  <si>
    <t xml:space="preserve">InfoLink via Energy Industry Review</t>
  </si>
  <si>
    <t xml:space="preserve">https://energyindustryreview.com/power/battery-storage-capacity-record-growth-and-trends-in-2026/</t>
  </si>
  <si>
    <t xml:space="preserve">Apr 2026</t>
  </si>
  <si>
    <t xml:space="preserve">China new-type storage 153 GW at Jun-26</t>
  </si>
  <si>
    <t xml:space="preserve">National Energy Administration / Xinhua</t>
  </si>
  <si>
    <t xml:space="preserve">https://english.news.cn/20260730/e1c1feab8d524b82a104cc6bd96b888a/c.html</t>
  </si>
  <si>
    <t xml:space="preserve">30 Jul 2026</t>
  </si>
  <si>
    <t xml:space="preserve">300 GW by 2030 target</t>
  </si>
  <si>
    <t xml:space="preserve">NDRC + NEA via Ember</t>
  </si>
  <si>
    <t xml:space="preserve">https://ember-energy.org/latest-insights/from-scale-to-system-navigating-the-next-phase-of-chinas-battery-storage/</t>
  </si>
  <si>
    <t xml:space="preserve">Sixfold BESS growth to 2030, 42% CAGR</t>
  </si>
  <si>
    <t xml:space="preserve">GlobalData via ESS News</t>
  </si>
  <si>
    <t xml:space="preserve">https://www.ess-news.com/2026/07/28/worlds-battery-storage-capacity-to-grow-sixfold-by-2030-says-globaldata/</t>
  </si>
  <si>
    <t xml:space="preserve">Zhongheng, VNET, DeepSeek investments</t>
  </si>
  <si>
    <t xml:space="preserve">Hello China Tech / ESS News</t>
  </si>
  <si>
    <t xml:space="preserve">https://www.ess-news.com/2026/04/10/catl-invests-600-million-in-chinese-data-center-power-business/</t>
  </si>
  <si>
    <t xml:space="preserve">Apr-Jun 2026</t>
  </si>
  <si>
    <t xml:space="preserve">06</t>
  </si>
  <si>
    <t xml:space="preserve">H1 2026 results, buyback, cash, ROE</t>
  </si>
  <si>
    <t xml:space="preserve">CATL interim report via CnEVPost</t>
  </si>
  <si>
    <t xml:space="preserve">https://cnevpost.com/2026/07/24/catl-h1-profit-share-buyback/</t>
  </si>
  <si>
    <t xml:space="preserve">24 Jul 2026</t>
  </si>
  <si>
    <t xml:space="preserve">FY2025 results, dividend, 661 GWh</t>
  </si>
  <si>
    <t xml:space="preserve">CATL annual report via Gasgoo</t>
  </si>
  <si>
    <t xml:space="preserve">https://autonews.gasgoo.com/articles/news/catl-scores-robust-yoy-growth-in-2025-revenue-net-profit-2031360974844448769</t>
  </si>
  <si>
    <t xml:space="preserve">Mar 2026</t>
  </si>
  <si>
    <t xml:space="preserve">FY2024 results and dividend policy</t>
  </si>
  <si>
    <t xml:space="preserve">https://www.ess-news.com/2025/03/20/catl-reports-profit-growth-despite-revenue-decline-announces-2-8bn-dividend-plan/</t>
  </si>
  <si>
    <t xml:space="preserve">Mar 2025</t>
  </si>
  <si>
    <t xml:space="preserve">07</t>
  </si>
  <si>
    <t xml:space="preserve">Valuation, A/H premium, broker targets</t>
  </si>
  <si>
    <t xml:space="preserve">CLSA / CICC / Longbridge / carnewschina</t>
  </si>
  <si>
    <t xml:space="preserve">https://carnewschina.com/2026/04/16/catls-market-cap-exceeds-2-trillion-yuan-290-billion-usd-hits-record-high/</t>
  </si>
  <si>
    <t xml:space="preserve">Apr-Aug 2026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</si>
</sst>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%"/>
    <numFmt numFmtId="168" formatCode="#,##0.0"/>
    <numFmt numFmtId="169" formatCode="\+0.0;\-0.0"/>
    <numFmt numFmtId="170" formatCode="\+0.0&quot;pp&quot;;\-0.0&quot;pp&quot;"/>
    <numFmt numFmtId="171" formatCode="#,##0.0;\(#,##0.0\)"/>
    <numFmt numFmtId="172" formatCode="#,##0.0;\(#,##0.0\)"/>
    <numFmt numFmtId="173" formatCode="#,##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76717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Noto Sans CJK SC"/>
      <family val="2"/>
    </font>
    <font>
      <u val="single"/>
      <sz val="8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4472C4"/>
        <bgColor rgb="FF4F81BD"/>
      </patternFill>
    </fill>
    <fill>
      <patternFill patternType="solid">
        <fgColor rgb="FF767171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171"/>
      <rgbColor rgb="FF9999FF"/>
      <rgbColor rgb="FF993366"/>
      <rgbColor rgb="FFFFF2CC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B3B3B3"/>
      <rgbColor rgb="FFFFCC99"/>
      <rgbColor rgb="FF4472C4"/>
      <rgbColor rgb="FF33CCCC"/>
      <rgbColor rgb="FF99CC00"/>
      <rgbColor rgb="FFFFCC00"/>
      <rgbColor rgb="FFBF8F00"/>
      <rgbColor rgb="FFED7D31"/>
      <rgbColor rgb="FF595959"/>
      <rgbColor rgb="FFA6A6A6"/>
      <rgbColor rgb="FF1F3864"/>
      <rgbColor rgb="FF4F81B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 passenger vehicle retail: NEV holds, ICE collapses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01_Mix_NEV_vs_ICE!L6</c:f>
              <c:strCache>
                <c:ptCount val="1"/>
                <c:pt idx="0">
                  <c:v>NEV (000)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01_Mix_NEV_vs_ICE!$L$7:$L$18</c:f>
              <c:numCache>
                <c:formatCode>#,##0</c:formatCode>
                <c:ptCount val="12"/>
                <c:pt idx="0">
                  <c:v>1003</c:v>
                </c:pt>
                <c:pt idx="1">
                  <c:v>1101</c:v>
                </c:pt>
                <c:pt idx="2">
                  <c:v>1290</c:v>
                </c:pt>
                <c:pt idx="3">
                  <c:v>1282</c:v>
                </c:pt>
                <c:pt idx="4">
                  <c:v>1319</c:v>
                </c:pt>
                <c:pt idx="5">
                  <c:v>1337</c:v>
                </c:pt>
                <c:pt idx="6">
                  <c:v>800</c:v>
                </c:pt>
                <c:pt idx="7">
                  <c:v>852</c:v>
                </c:pt>
                <c:pt idx="8">
                  <c:v>849</c:v>
                </c:pt>
                <c:pt idx="9">
                  <c:v>950</c:v>
                </c:pt>
                <c:pt idx="10">
                  <c:v>1037</c:v>
                </c:pt>
                <c:pt idx="11">
                  <c:v>980</c:v>
                </c:pt>
              </c:numCache>
            </c:numRef>
          </c:val>
        </c:ser>
        <c:ser>
          <c:idx val="1"/>
          <c:order val="1"/>
          <c:tx>
            <c:strRef>
              <c:f>01_Mix_NEV_vs_ICE!M6</c:f>
              <c:strCache>
                <c:ptCount val="1"/>
                <c:pt idx="0">
                  <c:v>ICE (000)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01_Mix_NEV_vs_ICE!$M$7:$M$18</c:f>
              <c:numCache>
                <c:formatCode>#,##0</c:formatCode>
                <c:ptCount val="12"/>
                <c:pt idx="0">
                  <c:v>831</c:v>
                </c:pt>
                <c:pt idx="1">
                  <c:v>893</c:v>
                </c:pt>
                <c:pt idx="2">
                  <c:v>942</c:v>
                </c:pt>
                <c:pt idx="3">
                  <c:v>959</c:v>
                </c:pt>
                <c:pt idx="4">
                  <c:v>906</c:v>
                </c:pt>
                <c:pt idx="5">
                  <c:v>925</c:v>
                </c:pt>
                <c:pt idx="6">
                  <c:v>1002</c:v>
                </c:pt>
                <c:pt idx="7">
                  <c:v>798</c:v>
                </c:pt>
                <c:pt idx="8">
                  <c:v>535</c:v>
                </c:pt>
                <c:pt idx="9">
                  <c:v>560</c:v>
                </c:pt>
                <c:pt idx="10">
                  <c:v>614</c:v>
                </c:pt>
                <c:pt idx="11">
                  <c:v>539</c:v>
                </c:pt>
              </c:numCache>
            </c:numRef>
          </c:val>
        </c:ser>
        <c:gapWidth val="150"/>
        <c:overlap val="100"/>
        <c:axId val="75609329"/>
        <c:axId val="13172151"/>
      </c:barChart>
      <c:lineChart>
        <c:grouping val="stacked"/>
        <c:varyColors val="0"/>
        <c:ser>
          <c:idx val="2"/>
          <c:order val="2"/>
          <c:tx>
            <c:strRef>
              <c:f>01_Mix_NEV_vs_ICE!N6</c:f>
              <c:strCache>
                <c:ptCount val="1"/>
                <c:pt idx="0">
                  <c:v>NEV penetration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01_Mix_NEV_vs_ICE!$N$7:$N$18</c:f>
              <c:numCache>
                <c:formatCode>0.0%</c:formatCode>
                <c:ptCount val="12"/>
                <c:pt idx="0">
                  <c:v>0.547</c:v>
                </c:pt>
                <c:pt idx="1">
                  <c:v>0.552</c:v>
                </c:pt>
                <c:pt idx="2">
                  <c:v>0.578</c:v>
                </c:pt>
                <c:pt idx="3">
                  <c:v>0.572</c:v>
                </c:pt>
                <c:pt idx="4">
                  <c:v>0.593</c:v>
                </c:pt>
                <c:pt idx="5">
                  <c:v>0.591</c:v>
                </c:pt>
                <c:pt idx="6">
                  <c:v>0.444</c:v>
                </c:pt>
                <c:pt idx="7">
                  <c:v>0.516</c:v>
                </c:pt>
                <c:pt idx="8">
                  <c:v>0.613</c:v>
                </c:pt>
                <c:pt idx="9">
                  <c:v>0.629</c:v>
                </c:pt>
                <c:pt idx="10">
                  <c:v>0.628</c:v>
                </c:pt>
                <c:pt idx="11">
                  <c:v>0.645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970831"/>
        <c:axId val="79131260"/>
      </c:lineChart>
      <c:catAx>
        <c:axId val="75609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72151"/>
        <c:crosses val="autoZero"/>
        <c:auto val="1"/>
        <c:lblAlgn val="ctr"/>
        <c:lblOffset val="100"/>
        <c:noMultiLvlLbl val="0"/>
      </c:catAx>
      <c:valAx>
        <c:axId val="131721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000 units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09329"/>
        <c:crosses val="autoZero"/>
        <c:crossBetween val="between"/>
      </c:valAx>
      <c:catAx>
        <c:axId val="3397083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31260"/>
        <c:crosses val="autoZero"/>
        <c:auto val="1"/>
        <c:lblAlgn val="ctr"/>
        <c:lblOffset val="100"/>
        <c:noMultiLvlLbl val="0"/>
      </c:catAx>
      <c:valAx>
        <c:axId val="79131260"/>
        <c:scaling>
          <c:orientation val="minMax"/>
          <c:max val="0.7"/>
          <c:min val="0.3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NEV penetration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7083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 decoupling: home market down, CATL 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01_Mix_NEV_vs_ICE!L48</c:f>
              <c:strCache>
                <c:ptCount val="1"/>
                <c:pt idx="0">
                  <c:v>H1-2026 YoY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01_Mix_NEV_vs_ICE!$K$49:$K$51</c:f>
              <c:strCache>
                <c:ptCount val="3"/>
                <c:pt idx="0">
                  <c:v>China NEV retail units</c:v>
                </c:pt>
                <c:pt idx="1">
                  <c:v>CATL installations</c:v>
                </c:pt>
                <c:pt idx="2">
                  <c:v>CATL revenue</c:v>
                </c:pt>
              </c:strCache>
            </c:strRef>
          </c:cat>
          <c:val>
            <c:numRef>
              <c:f>01_Mix_NEV_vs_ICE!$L$49:$L$51</c:f>
              <c:numCache>
                <c:formatCode>0.0%</c:formatCode>
                <c:ptCount val="3"/>
                <c:pt idx="0">
                  <c:v>-0.13</c:v>
                </c:pt>
                <c:pt idx="1">
                  <c:v>0.253</c:v>
                </c:pt>
                <c:pt idx="2">
                  <c:v>0.548</c:v>
                </c:pt>
              </c:numCache>
            </c:numRef>
          </c:val>
        </c:ser>
        <c:gapWidth val="150"/>
        <c:overlap val="0"/>
        <c:axId val="9000012"/>
        <c:axId val="10298774"/>
      </c:barChart>
      <c:catAx>
        <c:axId val="90000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98774"/>
        <c:crosses val="autoZero"/>
        <c:auto val="1"/>
        <c:lblAlgn val="ctr"/>
        <c:lblOffset val="100"/>
        <c:noMultiLvlLbl val="0"/>
      </c:catAx>
      <c:valAx>
        <c:axId val="102987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00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EV battery installations, H1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02_Market_Share!L6</c:f>
              <c:strCache>
                <c:ptCount val="1"/>
                <c:pt idx="0">
                  <c:v>H1-26 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02_Market_Share!$K$7:$K$16</c:f>
              <c:strCache>
                <c:ptCount val="10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  <c:pt idx="6">
                  <c:v>Eve Energy</c:v>
                </c:pt>
                <c:pt idx="7">
                  <c:v>SK On</c:v>
                </c:pt>
                <c:pt idx="8">
                  <c:v>Svolt Energy</c:v>
                </c:pt>
                <c:pt idx="9">
                  <c:v>Sunwoda</c:v>
                </c:pt>
              </c:strCache>
            </c:strRef>
          </c:cat>
          <c:val>
            <c:numRef>
              <c:f>02_Market_Share!$L$7:$L$16</c:f>
              <c:numCache>
                <c:formatCode>0.0%</c:formatCode>
                <c:ptCount val="10"/>
                <c:pt idx="0">
                  <c:v>0.399</c:v>
                </c:pt>
                <c:pt idx="1">
                  <c:v>0.144</c:v>
                </c:pt>
                <c:pt idx="2">
                  <c:v>0.086</c:v>
                </c:pt>
                <c:pt idx="3">
                  <c:v>0.051</c:v>
                </c:pt>
                <c:pt idx="4">
                  <c:v>0.046</c:v>
                </c:pt>
                <c:pt idx="5">
                  <c:v>0.037</c:v>
                </c:pt>
                <c:pt idx="6">
                  <c:v>0.034</c:v>
                </c:pt>
                <c:pt idx="7">
                  <c:v>0.031</c:v>
                </c:pt>
                <c:pt idx="8">
                  <c:v>0.026</c:v>
                </c:pt>
                <c:pt idx="9">
                  <c:v>0.024</c:v>
                </c:pt>
              </c:numCache>
            </c:numRef>
          </c:val>
        </c:ser>
        <c:gapWidth val="150"/>
        <c:overlap val="0"/>
        <c:axId val="16450410"/>
        <c:axId val="76574803"/>
      </c:barChart>
      <c:catAx>
        <c:axId val="16450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74803"/>
        <c:crosses val="autoZero"/>
        <c:auto val="1"/>
        <c:lblAlgn val="ctr"/>
        <c:lblOffset val="100"/>
        <c:noMultiLvlLbl val="0"/>
      </c:catAx>
      <c:valAx>
        <c:axId val="765748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50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change vs H1 2025 (percentage points)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02_Market_Share!M6</c:f>
              <c:strCache>
                <c:ptCount val="1"/>
                <c:pt idx="0">
                  <c:v>Change vs H1-25 (pp)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02_Market_Share!$K$7:$K$16</c:f>
              <c:strCache>
                <c:ptCount val="10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  <c:pt idx="6">
                  <c:v>Eve Energy</c:v>
                </c:pt>
                <c:pt idx="7">
                  <c:v>SK On</c:v>
                </c:pt>
                <c:pt idx="8">
                  <c:v>Svolt Energy</c:v>
                </c:pt>
                <c:pt idx="9">
                  <c:v>Sunwoda</c:v>
                </c:pt>
              </c:strCache>
            </c:strRef>
          </c:cat>
          <c:val>
            <c:numRef>
              <c:f>02_Market_Share!$M$7:$M$16</c:f>
              <c:numCache>
                <c:formatCode>\+0.0;\-0.0</c:formatCode>
                <c:ptCount val="10"/>
                <c:pt idx="0">
                  <c:v>1.7</c:v>
                </c:pt>
                <c:pt idx="1">
                  <c:v>-2.6</c:v>
                </c:pt>
                <c:pt idx="2">
                  <c:v>-0.9</c:v>
                </c:pt>
                <c:pt idx="3">
                  <c:v>0.5</c:v>
                </c:pt>
                <c:pt idx="4">
                  <c:v>0.5</c:v>
                </c:pt>
                <c:pt idx="5">
                  <c:v>-0.5</c:v>
                </c:pt>
                <c:pt idx="6">
                  <c:v>0.4</c:v>
                </c:pt>
                <c:pt idx="7">
                  <c:v>-0.9</c:v>
                </c:pt>
                <c:pt idx="8">
                  <c:v>0.4</c:v>
                </c:pt>
                <c:pt idx="9">
                  <c:v>-0.1</c:v>
                </c:pt>
              </c:numCache>
            </c:numRef>
          </c:val>
        </c:ser>
        <c:gapWidth val="150"/>
        <c:overlap val="0"/>
        <c:axId val="59927267"/>
        <c:axId val="36624368"/>
      </c:barChart>
      <c:catAx>
        <c:axId val="599272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24368"/>
        <c:crosses val="autoZero"/>
        <c:auto val="1"/>
        <c:lblAlgn val="ctr"/>
        <c:lblOffset val="100"/>
        <c:noMultiLvlLbl val="0"/>
      </c:catAx>
      <c:valAx>
        <c:axId val="366243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+0.0;\-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272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CATL share OUTSIDE China: +3.6pp in twelve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02_Market_Share!L46</c:f>
              <c:strCache>
                <c:ptCount val="1"/>
                <c:pt idx="0">
                  <c:v>CATL share outside China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02_Market_Share!$K$47:$K$48</c:f>
              <c:strCache>
                <c:ptCount val="2"/>
                <c:pt idx="0">
                  <c:v>FY2025</c:v>
                </c:pt>
                <c:pt idx="1">
                  <c:v>H1-2026</c:v>
                </c:pt>
              </c:strCache>
            </c:strRef>
          </c:cat>
          <c:val>
            <c:numRef>
              <c:f>02_Market_Share!$L$47:$L$48</c:f>
              <c:numCache>
                <c:formatCode>0.0%</c:formatCode>
                <c:ptCount val="2"/>
                <c:pt idx="0">
                  <c:v>0.3</c:v>
                </c:pt>
                <c:pt idx="1">
                  <c:v>0.336</c:v>
                </c:pt>
              </c:numCache>
            </c:numRef>
          </c:val>
        </c:ser>
        <c:gapWidth val="150"/>
        <c:overlap val="0"/>
        <c:axId val="24295530"/>
        <c:axId val="36803707"/>
      </c:barChart>
      <c:catAx>
        <c:axId val="242955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03707"/>
        <c:crosses val="autoZero"/>
        <c:auto val="1"/>
        <c:lblAlgn val="ctr"/>
        <c:lblOffset val="100"/>
        <c:noMultiLvlLbl val="0"/>
      </c:catAx>
      <c:valAx>
        <c:axId val="36803707"/>
        <c:scaling>
          <c:orientation val="minMax"/>
          <c:min val="0.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955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 (RMB bn): ESS is the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03_Revenue_Mix_Geo!K7</c:f>
              <c:strCache>
                <c:ptCount val="1"/>
                <c:pt idx="0">
                  <c:v>EV battery systems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03_Revenue_Mix_Geo!$L$7:$M$7</c:f>
              <c:numCache>
                <c:formatCode>#,##0.0</c:formatCode>
                <c:ptCount val="2"/>
                <c:pt idx="0">
                  <c:v>131.57</c:v>
                </c:pt>
                <c:pt idx="1">
                  <c:v>192.12</c:v>
                </c:pt>
              </c:numCache>
            </c:numRef>
          </c:val>
        </c:ser>
        <c:ser>
          <c:idx val="1"/>
          <c:order val="1"/>
          <c:tx>
            <c:strRef>
              <c:f>03_Revenue_Mix_Geo!K8</c:f>
              <c:strCache>
                <c:ptCount val="1"/>
                <c:pt idx="0">
                  <c:v>Energy storage (ESS)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03_Revenue_Mix_Geo!$L$8:$M$8</c:f>
              <c:numCache>
                <c:formatCode>#,##0.0</c:formatCode>
                <c:ptCount val="2"/>
                <c:pt idx="0">
                  <c:v>28.4</c:v>
                </c:pt>
                <c:pt idx="1">
                  <c:v>53.26</c:v>
                </c:pt>
              </c:numCache>
            </c:numRef>
          </c:val>
        </c:ser>
        <c:ser>
          <c:idx val="2"/>
          <c:order val="2"/>
          <c:tx>
            <c:strRef>
              <c:f>03_Revenue_Mix_Geo!K9</c:f>
              <c:strCache>
                <c:ptCount val="1"/>
                <c:pt idx="0">
                  <c:v>Materials, recycling &amp; minerals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03_Revenue_Mix_Geo!$L$9:$M$9</c:f>
              <c:numCache>
                <c:formatCode>#,##0.0</c:formatCode>
                <c:ptCount val="2"/>
                <c:pt idx="0">
                  <c:v>11.25</c:v>
                </c:pt>
                <c:pt idx="1">
                  <c:v>18.81</c:v>
                </c:pt>
              </c:numCache>
            </c:numRef>
          </c:val>
        </c:ser>
        <c:ser>
          <c:idx val="3"/>
          <c:order val="3"/>
          <c:tx>
            <c:strRef>
              <c:f>03_Revenue_Mix_Geo!K10</c:f>
              <c:strCache>
                <c:ptCount val="1"/>
                <c:pt idx="0">
                  <c:v>Swap, licensing &amp; other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03_Revenue_Mix_Geo!$L$10:$M$10</c:f>
              <c:numCache>
                <c:formatCode>#,##0.0</c:formatCode>
                <c:ptCount val="2"/>
                <c:pt idx="0">
                  <c:v>7.67</c:v>
                </c:pt>
                <c:pt idx="1">
                  <c:v>12.73</c:v>
                </c:pt>
              </c:numCache>
            </c:numRef>
          </c:val>
        </c:ser>
        <c:gapWidth val="150"/>
        <c:overlap val="100"/>
        <c:axId val="47849835"/>
        <c:axId val="92656944"/>
      </c:barChart>
      <c:catAx>
        <c:axId val="47849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56944"/>
        <c:crosses val="autoZero"/>
        <c:auto val="1"/>
        <c:lblAlgn val="ctr"/>
        <c:lblOffset val="100"/>
        <c:noMultiLvlLbl val="0"/>
      </c:catAx>
      <c:valAx>
        <c:axId val="926569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49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Only ~2.5% of revenue touches the United States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03_Revenue_Mix_Geo!P14</c:f>
              <c:strCache>
                <c:ptCount val="1"/>
                <c:pt idx="0">
                  <c:v>H1-2026 revenue (RMB bn)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03_Revenue_Mix_Geo!$O$15:$O$17</c:f>
              <c:strCache>
                <c:ptCount val="3"/>
                <c:pt idx="0">
                  <c:v>China domestic</c:v>
                </c:pt>
                <c:pt idx="1">
                  <c:v>Overseas ex-US</c:v>
                </c:pt>
                <c:pt idx="2">
                  <c:v>United States</c:v>
                </c:pt>
              </c:strCache>
            </c:strRef>
          </c:cat>
          <c:val>
            <c:numRef>
              <c:f>03_Revenue_Mix_Geo!$P$15:$P$17</c:f>
              <c:numCache>
                <c:formatCode>#,##0.0</c:formatCode>
                <c:ptCount val="3"/>
                <c:pt idx="0">
                  <c:v>189.79</c:v>
                </c:pt>
                <c:pt idx="1">
                  <c:v>80.1</c:v>
                </c:pt>
                <c:pt idx="2">
                  <c:v>7.03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profit, RMB bn: solar went to losses, CATL tripled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04_Not_Solar!K7</c:f>
              <c:strCache>
                <c:ptCount val="1"/>
                <c:pt idx="0">
                  <c:v>CATL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04_Not_Solar!$L$7:$N$7</c:f>
              <c:numCache>
                <c:formatCode>#,##0.0;\(#,##0.0\)</c:formatCode>
                <c:ptCount val="3"/>
                <c:pt idx="0">
                  <c:v>44.12</c:v>
                </c:pt>
                <c:pt idx="1">
                  <c:v>50.75</c:v>
                </c:pt>
                <c:pt idx="2">
                  <c:v>72.2</c:v>
                </c:pt>
              </c:numCache>
            </c:numRef>
          </c:val>
        </c:ser>
        <c:ser>
          <c:idx val="1"/>
          <c:order val="1"/>
          <c:tx>
            <c:strRef>
              <c:f>04_Not_Solar!K8</c:f>
              <c:strCache>
                <c:ptCount val="1"/>
                <c:pt idx="0">
                  <c:v>LONGi Green Energy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04_Not_Solar!$L$8:$N$8</c:f>
              <c:numCache>
                <c:formatCode>#,##0.0;\(#,##0.0\)</c:formatCode>
                <c:ptCount val="3"/>
                <c:pt idx="0">
                  <c:v>10.75</c:v>
                </c:pt>
                <c:pt idx="1">
                  <c:v>-8.62</c:v>
                </c:pt>
                <c:pt idx="2">
                  <c:v>-6.25</c:v>
                </c:pt>
              </c:numCache>
            </c:numRef>
          </c:val>
        </c:ser>
        <c:ser>
          <c:idx val="2"/>
          <c:order val="2"/>
          <c:tx>
            <c:strRef>
              <c:f>04_Not_Solar!K9</c:f>
              <c:strCache>
                <c:ptCount val="1"/>
                <c:pt idx="0">
                  <c:v>Tongwei</c:v>
                </c:pt>
              </c:strCache>
            </c:strRef>
          </c:tx>
          <c:spPr>
            <a:solidFill>
              <a:srgbClr val="76717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04_Not_Solar!$L$9:$N$9</c:f>
              <c:numCache>
                <c:formatCode>#,##0.0;\(#,##0.0\)</c:formatCode>
                <c:ptCount val="3"/>
                <c:pt idx="0">
                  <c:v>13.58</c:v>
                </c:pt>
                <c:pt idx="1">
                  <c:v>-7.04</c:v>
                </c:pt>
                <c:pt idx="2">
                  <c:v>-5</c:v>
                </c:pt>
              </c:numCache>
            </c:numRef>
          </c:val>
        </c:ser>
        <c:gapWidth val="150"/>
        <c:overlap val="0"/>
        <c:axId val="34921550"/>
        <c:axId val="92302399"/>
      </c:barChart>
      <c:catAx>
        <c:axId val="349215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02399"/>
        <c:crosses val="autoZero"/>
        <c:auto val="1"/>
        <c:lblAlgn val="ctr"/>
        <c:lblOffset val="100"/>
        <c:noMultiLvlLbl val="0"/>
      </c:catAx>
      <c:valAx>
        <c:axId val="92302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21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margin: pricing power vs commodity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04_Not_Solar!L46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04_Not_Solar!$K$47:$K$51</c:f>
              <c:strCache>
                <c:ptCount val="5"/>
                <c:pt idx="0">
                  <c:v>CATL H1-26</c:v>
                </c:pt>
                <c:pt idx="1">
                  <c:v>CATL ESS</c:v>
                </c:pt>
                <c:pt idx="2">
                  <c:v>CATL materials</c:v>
                </c:pt>
                <c:pt idx="3">
                  <c:v>JinkoSolar FY24</c:v>
                </c:pt>
                <c:pt idx="4">
                  <c:v>LONGi FY24</c:v>
                </c:pt>
              </c:strCache>
            </c:strRef>
          </c:cat>
          <c:val>
            <c:numRef>
              <c:f>04_Not_Solar!$L$47:$L$51</c:f>
              <c:numCache>
                <c:formatCode>0.0%</c:formatCode>
                <c:ptCount val="5"/>
                <c:pt idx="0">
                  <c:v>0.2393</c:v>
                </c:pt>
                <c:pt idx="1">
                  <c:v>0.2396</c:v>
                </c:pt>
                <c:pt idx="2">
                  <c:v>0.2704</c:v>
                </c:pt>
                <c:pt idx="3">
                  <c:v>0.109</c:v>
                </c:pt>
                <c:pt idx="4">
                  <c:v>0.074</c:v>
                </c:pt>
              </c:numCache>
            </c:numRef>
          </c:val>
        </c:ser>
        <c:gapWidth val="150"/>
        <c:overlap val="0"/>
        <c:axId val="98979594"/>
        <c:axId val="41309128"/>
      </c:barChart>
      <c:catAx>
        <c:axId val="989795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09128"/>
        <c:crosses val="autoZero"/>
        <c:auto val="1"/>
        <c:lblAlgn val="ctr"/>
        <c:lblOffset val="100"/>
        <c:noMultiLvlLbl val="0"/>
      </c:catAx>
      <c:valAx>
        <c:axId val="413091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795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BESS shipments (GWh): +75%, then +42%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05_ESS_DataCentre!L6</c:f>
              <c:strCache>
                <c:ptCount val="1"/>
                <c:pt idx="0">
                  <c:v>Global BESS systems shipped (GWh)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9dc3e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05_ESS_DataCentre!$K$7:$K$9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05_ESS_DataCentre!$L$7:$L$9</c:f>
              <c:numCache>
                <c:formatCode>#,##0</c:formatCode>
                <c:ptCount val="3"/>
                <c:pt idx="0">
                  <c:v>240</c:v>
                </c:pt>
                <c:pt idx="1">
                  <c:v>421.2</c:v>
                </c:pt>
                <c:pt idx="2">
                  <c:v>600</c:v>
                </c:pt>
              </c:numCache>
            </c:numRef>
          </c:val>
        </c:ser>
        <c:gapWidth val="150"/>
        <c:overlap val="0"/>
        <c:axId val="29271354"/>
        <c:axId val="26733293"/>
      </c:barChart>
      <c:catAx>
        <c:axId val="292713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33293"/>
        <c:crosses val="autoZero"/>
        <c:auto val="1"/>
        <c:lblAlgn val="ctr"/>
        <c:lblOffset val="100"/>
        <c:noMultiLvlLbl val="0"/>
      </c:catAx>
      <c:valAx>
        <c:axId val="267332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1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ESS share of CATL revenue vs company 2030 guidance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05_ESS_DataCentre!P6</c:f>
              <c:strCache>
                <c:ptCount val="1"/>
                <c:pt idx="0">
                  <c:v>ESS as % of CATL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05_ESS_DataCentre!$O$7:$O$10</c:f>
              <c:strCache>
                <c:ptCount val="4"/>
                <c:pt idx="0">
                  <c:v>FY2024</c:v>
                </c:pt>
                <c:pt idx="1">
                  <c:v>H1-2025</c:v>
                </c:pt>
                <c:pt idx="2">
                  <c:v>H1-2026</c:v>
                </c:pt>
                <c:pt idx="3">
                  <c:v>FY2030 target</c:v>
                </c:pt>
              </c:strCache>
            </c:strRef>
          </c:cat>
          <c:val>
            <c:numRef>
              <c:f>05_ESS_DataCentre!$P$7:$P$10</c:f>
              <c:numCache>
                <c:formatCode>0.0%</c:formatCode>
                <c:ptCount val="4"/>
                <c:pt idx="0">
                  <c:v>0.158</c:v>
                </c:pt>
                <c:pt idx="1">
                  <c:v>0.159</c:v>
                </c:pt>
                <c:pt idx="2">
                  <c:v>0.192</c:v>
                </c:pt>
                <c:pt idx="3">
                  <c:v>0.5</c:v>
                </c:pt>
              </c:numCache>
            </c:numRef>
          </c:val>
        </c:ser>
        <c:gapWidth val="150"/>
        <c:overlap val="0"/>
        <c:axId val="17651242"/>
        <c:axId val="64741644"/>
      </c:barChart>
      <c:catAx>
        <c:axId val="17651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41644"/>
        <c:crosses val="autoZero"/>
        <c:auto val="1"/>
        <c:lblAlgn val="ctr"/>
        <c:lblOffset val="100"/>
        <c:noMultiLvlLbl val="0"/>
      </c:catAx>
      <c:valAx>
        <c:axId val="647416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512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 new-type storage: 3 GW to a 300 GW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05_ESS_DataCentre!L46</c:f>
              <c:strCache>
                <c:ptCount val="1"/>
                <c:pt idx="0">
                  <c:v>China new-type storage (GW)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05_ESS_DataCentre!$K$47:$K$50</c:f>
              <c:strCache>
                <c:ptCount val="4"/>
                <c:pt idx="0">
                  <c:v>2020</c:v>
                </c:pt>
                <c:pt idx="1">
                  <c:v>2025</c:v>
                </c:pt>
                <c:pt idx="2">
                  <c:v>Jun-2026</c:v>
                </c:pt>
                <c:pt idx="3">
                  <c:v>2030 target</c:v>
                </c:pt>
              </c:strCache>
            </c:strRef>
          </c:cat>
          <c:val>
            <c:numRef>
              <c:f>05_ESS_DataCentre!$L$47:$L$50</c:f>
              <c:numCache>
                <c:formatCode>#,##0</c:formatCode>
                <c:ptCount val="4"/>
                <c:pt idx="0">
                  <c:v>3</c:v>
                </c:pt>
                <c:pt idx="1">
                  <c:v>136</c:v>
                </c:pt>
                <c:pt idx="2">
                  <c:v>153</c:v>
                </c:pt>
                <c:pt idx="3">
                  <c:v>300</c:v>
                </c:pt>
              </c:numCache>
            </c:numRef>
          </c:val>
        </c:ser>
        <c:gapWidth val="150"/>
        <c:overlap val="0"/>
        <c:axId val="9522263"/>
        <c:axId val="93266847"/>
      </c:barChart>
      <c:catAx>
        <c:axId val="9522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66847"/>
        <c:crosses val="autoZero"/>
        <c:auto val="1"/>
        <c:lblAlgn val="ctr"/>
        <c:lblOffset val="100"/>
        <c:noMultiLvlLbl val="0"/>
      </c:catAx>
      <c:valAx>
        <c:axId val="932668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22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flat-to-up, profit compounding, margin expanding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06_Compounding!L6</c:f>
              <c:strCache>
                <c:ptCount val="1"/>
                <c:pt idx="0">
                  <c:v>Revenue (RMB bn)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06_Compounding!$L$7:$L$9</c:f>
              <c:numCache>
                <c:formatCode>#,##0</c:formatCode>
                <c:ptCount val="3"/>
                <c:pt idx="0">
                  <c:v>400.92</c:v>
                </c:pt>
                <c:pt idx="1">
                  <c:v>362.01</c:v>
                </c:pt>
                <c:pt idx="2">
                  <c:v>423.7</c:v>
                </c:pt>
              </c:numCache>
            </c:numRef>
          </c:val>
        </c:ser>
        <c:ser>
          <c:idx val="1"/>
          <c:order val="1"/>
          <c:tx>
            <c:strRef>
              <c:f>06_Compounding!M6</c:f>
              <c:strCache>
                <c:ptCount val="1"/>
                <c:pt idx="0">
                  <c:v>Net profit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06_Compounding!$M$7:$M$9</c:f>
              <c:numCache>
                <c:formatCode>#,##0</c:formatCode>
                <c:ptCount val="3"/>
                <c:pt idx="0">
                  <c:v>44.12</c:v>
                </c:pt>
                <c:pt idx="1">
                  <c:v>50.75</c:v>
                </c:pt>
                <c:pt idx="2">
                  <c:v>72.2</c:v>
                </c:pt>
              </c:numCache>
            </c:numRef>
          </c:val>
        </c:ser>
        <c:gapWidth val="150"/>
        <c:overlap val="0"/>
        <c:axId val="17960246"/>
        <c:axId val="99290455"/>
      </c:barChart>
      <c:lineChart>
        <c:grouping val="standard"/>
        <c:varyColors val="0"/>
        <c:ser>
          <c:idx val="2"/>
          <c:order val="2"/>
          <c:tx>
            <c:strRef>
              <c:f>06_Compounding!N6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06_Compounding!$N$7:$N$9</c:f>
              <c:numCache>
                <c:formatCode>0.0%</c:formatCode>
                <c:ptCount val="3"/>
                <c:pt idx="0">
                  <c:v>0.11</c:v>
                </c:pt>
                <c:pt idx="1">
                  <c:v>0.14</c:v>
                </c:pt>
                <c:pt idx="2">
                  <c:v>0.17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643110"/>
        <c:axId val="8471295"/>
      </c:lineChart>
      <c:catAx>
        <c:axId val="179602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90455"/>
        <c:crosses val="autoZero"/>
        <c:auto val="1"/>
        <c:lblAlgn val="ctr"/>
        <c:lblOffset val="100"/>
        <c:noMultiLvlLbl val="0"/>
      </c:catAx>
      <c:valAx>
        <c:axId val="992904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60246"/>
        <c:crosses val="autoZero"/>
        <c:crossBetween val="between"/>
      </c:valAx>
      <c:catAx>
        <c:axId val="6964311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1295"/>
        <c:crosses val="autoZero"/>
        <c:auto val="1"/>
        <c:lblAlgn val="ctr"/>
        <c:lblOffset val="100"/>
        <c:noMultiLvlLbl val="0"/>
      </c:catAx>
      <c:valAx>
        <c:axId val="8471295"/>
        <c:scaling>
          <c:orientation val="minMax"/>
          <c:max val="0.25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4311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net profit (RMB bn): the white-horse claim, evidenced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06_Compounding!R6</c:f>
              <c:strCache>
                <c:ptCount val="1"/>
                <c:pt idx="0">
                  <c:v>Net profit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06_Compounding!$Q$7:$Q$12</c:f>
              <c:strCache>
                <c:ptCount val="6"/>
                <c:pt idx="0">
                  <c:v>Q1-25</c:v>
                </c:pt>
                <c:pt idx="1">
                  <c:v>Q2-25</c:v>
                </c:pt>
                <c:pt idx="2">
                  <c:v>Q3-25</c:v>
                </c:pt>
                <c:pt idx="3">
                  <c:v>Q4-25</c:v>
                </c:pt>
                <c:pt idx="4">
                  <c:v>Q1-26</c:v>
                </c:pt>
                <c:pt idx="5">
                  <c:v>Q2-26</c:v>
                </c:pt>
              </c:strCache>
            </c:strRef>
          </c:cat>
          <c:val>
            <c:numRef>
              <c:f>06_Compounding!$R$7:$R$12</c:f>
              <c:numCache>
                <c:formatCode>#,##0.0</c:formatCode>
                <c:ptCount val="6"/>
                <c:pt idx="0">
                  <c:v>13.96</c:v>
                </c:pt>
                <c:pt idx="1">
                  <c:v>16.53</c:v>
                </c:pt>
                <c:pt idx="2">
                  <c:v>18.54</c:v>
                </c:pt>
                <c:pt idx="3">
                  <c:v>23.17</c:v>
                </c:pt>
                <c:pt idx="4">
                  <c:v>20.74</c:v>
                </c:pt>
                <c:pt idx="5">
                  <c:v>22.55</c:v>
                </c:pt>
              </c:numCache>
            </c:numRef>
          </c:val>
        </c:ser>
        <c:gapWidth val="150"/>
        <c:overlap val="0"/>
        <c:axId val="37472131"/>
        <c:axId val="39671037"/>
      </c:barChart>
      <c:catAx>
        <c:axId val="37472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71037"/>
        <c:crosses val="autoZero"/>
        <c:auto val="1"/>
        <c:lblAlgn val="ctr"/>
        <c:lblOffset val="100"/>
        <c:noMultiLvlLbl val="0"/>
      </c:catAx>
      <c:valAx>
        <c:axId val="396710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721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dividends paid (RMB bn), ~50% payout policy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06_Compounding!L46</c:f>
              <c:strCache>
                <c:ptCount val="1"/>
                <c:pt idx="0">
                  <c:v>Dividend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06_Compounding!$K$47:$K$48</c:f>
              <c:strCache>
                <c:ptCount val="2"/>
                <c:pt idx="0">
                  <c:v>FY2024</c:v>
                </c:pt>
                <c:pt idx="1">
                  <c:v>FY2025</c:v>
                </c:pt>
              </c:strCache>
            </c:strRef>
          </c:cat>
          <c:val>
            <c:numRef>
              <c:f>06_Compounding!$L$47:$L$48</c:f>
              <c:numCache>
                <c:formatCode>#,##0.0</c:formatCode>
                <c:ptCount val="2"/>
                <c:pt idx="0">
                  <c:v>25.37</c:v>
                </c:pt>
                <c:pt idx="1">
                  <c:v>31.53</c:v>
                </c:pt>
              </c:numCache>
            </c:numRef>
          </c:val>
        </c:ser>
        <c:gapWidth val="150"/>
        <c:overlap val="0"/>
        <c:axId val="96998045"/>
        <c:axId val="48919429"/>
      </c:barChart>
      <c:catAx>
        <c:axId val="96998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19429"/>
        <c:crosses val="autoZero"/>
        <c:auto val="1"/>
        <c:lblAlgn val="ctr"/>
        <c:lblOffset val="100"/>
        <c:noMultiLvlLbl val="0"/>
      </c:catAx>
      <c:valAx>
        <c:axId val="489194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980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20</xdr:col>
      <xdr:colOff>99360</xdr:colOff>
      <xdr:row>41</xdr:row>
      <xdr:rowOff>128520</xdr:rowOff>
    </xdr:to>
    <xdr:graphicFrame>
      <xdr:nvGraphicFramePr>
        <xdr:cNvPr id="0" name="Chart 1"/>
        <xdr:cNvGraphicFramePr/>
      </xdr:nvGraphicFramePr>
      <xdr:xfrm>
        <a:off x="10856520" y="4324320"/>
        <a:ext cx="82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63</xdr:row>
      <xdr:rowOff>0</xdr:rowOff>
    </xdr:from>
    <xdr:to>
      <xdr:col>17</xdr:col>
      <xdr:colOff>493920</xdr:colOff>
      <xdr:row>78</xdr:row>
      <xdr:rowOff>21960</xdr:rowOff>
    </xdr:to>
    <xdr:graphicFrame>
      <xdr:nvGraphicFramePr>
        <xdr:cNvPr id="1" name="Chart 2"/>
        <xdr:cNvGraphicFramePr/>
      </xdr:nvGraphicFramePr>
      <xdr:xfrm>
        <a:off x="10856520" y="1270620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18</xdr:col>
      <xdr:colOff>398880</xdr:colOff>
      <xdr:row>40</xdr:row>
      <xdr:rowOff>149400</xdr:rowOff>
    </xdr:to>
    <xdr:graphicFrame>
      <xdr:nvGraphicFramePr>
        <xdr:cNvPr id="2" name="Chart 1"/>
        <xdr:cNvGraphicFramePr/>
      </xdr:nvGraphicFramePr>
      <xdr:xfrm>
        <a:off x="11232000" y="451476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21</xdr:row>
      <xdr:rowOff>0</xdr:rowOff>
    </xdr:from>
    <xdr:to>
      <xdr:col>30</xdr:col>
      <xdr:colOff>113040</xdr:colOff>
      <xdr:row>40</xdr:row>
      <xdr:rowOff>149400</xdr:rowOff>
    </xdr:to>
    <xdr:graphicFrame>
      <xdr:nvGraphicFramePr>
        <xdr:cNvPr id="3" name="Chart 2"/>
        <xdr:cNvGraphicFramePr/>
      </xdr:nvGraphicFramePr>
      <xdr:xfrm>
        <a:off x="18284040" y="451476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49</xdr:row>
      <xdr:rowOff>97200</xdr:rowOff>
    </xdr:from>
    <xdr:to>
      <xdr:col>15</xdr:col>
      <xdr:colOff>433440</xdr:colOff>
      <xdr:row>66</xdr:row>
      <xdr:rowOff>98280</xdr:rowOff>
    </xdr:to>
    <xdr:graphicFrame>
      <xdr:nvGraphicFramePr>
        <xdr:cNvPr id="4" name="Chart 3"/>
        <xdr:cNvGraphicFramePr/>
      </xdr:nvGraphicFramePr>
      <xdr:xfrm>
        <a:off x="11232000" y="102297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15</xdr:col>
      <xdr:colOff>637200</xdr:colOff>
      <xdr:row>38</xdr:row>
      <xdr:rowOff>44640</xdr:rowOff>
    </xdr:to>
    <xdr:graphicFrame>
      <xdr:nvGraphicFramePr>
        <xdr:cNvPr id="5" name="Chart 1"/>
        <xdr:cNvGraphicFramePr/>
      </xdr:nvGraphicFramePr>
      <xdr:xfrm>
        <a:off x="11866320" y="45147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21</xdr:row>
      <xdr:rowOff>0</xdr:rowOff>
    </xdr:from>
    <xdr:to>
      <xdr:col>27</xdr:col>
      <xdr:colOff>507600</xdr:colOff>
      <xdr:row>38</xdr:row>
      <xdr:rowOff>44640</xdr:rowOff>
    </xdr:to>
    <xdr:graphicFrame>
      <xdr:nvGraphicFramePr>
        <xdr:cNvPr id="6" name="Chart 2"/>
        <xdr:cNvGraphicFramePr/>
      </xdr:nvGraphicFramePr>
      <xdr:xfrm>
        <a:off x="19951200" y="451476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18</xdr:col>
      <xdr:colOff>242640</xdr:colOff>
      <xdr:row>35</xdr:row>
      <xdr:rowOff>44640</xdr:rowOff>
    </xdr:to>
    <xdr:graphicFrame>
      <xdr:nvGraphicFramePr>
        <xdr:cNvPr id="7" name="Chart 1"/>
        <xdr:cNvGraphicFramePr/>
      </xdr:nvGraphicFramePr>
      <xdr:xfrm>
        <a:off x="11513880" y="451476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50</xdr:row>
      <xdr:rowOff>0</xdr:rowOff>
    </xdr:from>
    <xdr:to>
      <xdr:col>17</xdr:col>
      <xdr:colOff>134280</xdr:colOff>
      <xdr:row>68</xdr:row>
      <xdr:rowOff>170640</xdr:rowOff>
    </xdr:to>
    <xdr:graphicFrame>
      <xdr:nvGraphicFramePr>
        <xdr:cNvPr id="8" name="Chart 2"/>
        <xdr:cNvGraphicFramePr/>
      </xdr:nvGraphicFramePr>
      <xdr:xfrm>
        <a:off x="11513880" y="112870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15</xdr:col>
      <xdr:colOff>793440</xdr:colOff>
      <xdr:row>37</xdr:row>
      <xdr:rowOff>170640</xdr:rowOff>
    </xdr:to>
    <xdr:graphicFrame>
      <xdr:nvGraphicFramePr>
        <xdr:cNvPr id="9" name="Chart 1"/>
        <xdr:cNvGraphicFramePr/>
      </xdr:nvGraphicFramePr>
      <xdr:xfrm>
        <a:off x="11936880" y="47052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21</xdr:row>
      <xdr:rowOff>0</xdr:rowOff>
    </xdr:from>
    <xdr:to>
      <xdr:col>27</xdr:col>
      <xdr:colOff>507600</xdr:colOff>
      <xdr:row>37</xdr:row>
      <xdr:rowOff>170640</xdr:rowOff>
    </xdr:to>
    <xdr:graphicFrame>
      <xdr:nvGraphicFramePr>
        <xdr:cNvPr id="10" name="Chart 2"/>
        <xdr:cNvGraphicFramePr/>
      </xdr:nvGraphicFramePr>
      <xdr:xfrm>
        <a:off x="19505160" y="47052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49</xdr:row>
      <xdr:rowOff>97200</xdr:rowOff>
    </xdr:from>
    <xdr:to>
      <xdr:col>16</xdr:col>
      <xdr:colOff>25560</xdr:colOff>
      <xdr:row>68</xdr:row>
      <xdr:rowOff>77400</xdr:rowOff>
    </xdr:to>
    <xdr:graphicFrame>
      <xdr:nvGraphicFramePr>
        <xdr:cNvPr id="11" name="Chart 3"/>
        <xdr:cNvGraphicFramePr/>
      </xdr:nvGraphicFramePr>
      <xdr:xfrm>
        <a:off x="11936880" y="10611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16</xdr:col>
      <xdr:colOff>385560</xdr:colOff>
      <xdr:row>39</xdr:row>
      <xdr:rowOff>149400</xdr:rowOff>
    </xdr:to>
    <xdr:graphicFrame>
      <xdr:nvGraphicFramePr>
        <xdr:cNvPr id="12" name="Chart 1"/>
        <xdr:cNvGraphicFramePr/>
      </xdr:nvGraphicFramePr>
      <xdr:xfrm>
        <a:off x="11936880" y="451476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21</xdr:row>
      <xdr:rowOff>0</xdr:rowOff>
    </xdr:from>
    <xdr:to>
      <xdr:col>31</xdr:col>
      <xdr:colOff>4680</xdr:colOff>
      <xdr:row>39</xdr:row>
      <xdr:rowOff>149400</xdr:rowOff>
    </xdr:to>
    <xdr:graphicFrame>
      <xdr:nvGraphicFramePr>
        <xdr:cNvPr id="13" name="Chart 2"/>
        <xdr:cNvGraphicFramePr/>
      </xdr:nvGraphicFramePr>
      <xdr:xfrm>
        <a:off x="21760920" y="451476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50</xdr:row>
      <xdr:rowOff>0</xdr:rowOff>
    </xdr:from>
    <xdr:to>
      <xdr:col>14</xdr:col>
      <xdr:colOff>528840</xdr:colOff>
      <xdr:row>67</xdr:row>
      <xdr:rowOff>1080</xdr:rowOff>
    </xdr:to>
    <xdr:graphicFrame>
      <xdr:nvGraphicFramePr>
        <xdr:cNvPr id="14" name="Chart 3"/>
        <xdr:cNvGraphicFramePr/>
      </xdr:nvGraphicFramePr>
      <xdr:xfrm>
        <a:off x="11936880" y="104202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57.75" hidden="false" customHeight="true" outlineLevel="0" collapsed="false">
      <c r="A6" s="6" t="s">
        <v>8</v>
      </c>
      <c r="B6" s="7" t="s">
        <v>9</v>
      </c>
      <c r="C6" s="7" t="s">
        <v>10</v>
      </c>
      <c r="D6" s="7" t="s">
        <v>11</v>
      </c>
      <c r="E6" s="7" t="s">
        <v>12</v>
      </c>
    </row>
    <row r="7" customFormat="false" ht="57.75" hidden="false" customHeight="true" outlineLevel="0" collapsed="false">
      <c r="A7" s="6" t="s">
        <v>13</v>
      </c>
      <c r="B7" s="7" t="s">
        <v>14</v>
      </c>
      <c r="C7" s="7" t="s">
        <v>15</v>
      </c>
      <c r="D7" s="7" t="s">
        <v>16</v>
      </c>
      <c r="E7" s="7" t="s">
        <v>17</v>
      </c>
    </row>
    <row r="8" customFormat="false" ht="57.75" hidden="false" customHeight="true" outlineLevel="0" collapsed="false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</row>
    <row r="10" customFormat="false" ht="15" hidden="false" customHeight="true" outlineLevel="0" collapsed="false">
      <c r="A10" s="4" t="s">
        <v>23</v>
      </c>
      <c r="B10" s="4"/>
      <c r="C10" s="4"/>
      <c r="D10" s="4"/>
      <c r="E10" s="4"/>
      <c r="F10" s="4"/>
    </row>
    <row r="11" customFormat="false" ht="30" hidden="false" customHeight="true" outlineLevel="0" collapsed="false">
      <c r="A11" s="5" t="s">
        <v>3</v>
      </c>
      <c r="B11" s="5" t="s">
        <v>4</v>
      </c>
      <c r="C11" s="5" t="s">
        <v>5</v>
      </c>
      <c r="D11" s="5" t="s">
        <v>6</v>
      </c>
      <c r="E11" s="5" t="s">
        <v>7</v>
      </c>
    </row>
    <row r="12" customFormat="false" ht="61.5" hidden="false" customHeight="true" outlineLevel="0" collapsed="false">
      <c r="A12" s="6" t="s">
        <v>24</v>
      </c>
      <c r="B12" s="7" t="s">
        <v>25</v>
      </c>
      <c r="C12" s="7" t="s">
        <v>26</v>
      </c>
      <c r="D12" s="7" t="s">
        <v>27</v>
      </c>
      <c r="E12" s="7" t="s">
        <v>28</v>
      </c>
    </row>
    <row r="13" customFormat="false" ht="61.5" hidden="false" customHeight="true" outlineLevel="0" collapsed="false">
      <c r="A13" s="6" t="s">
        <v>29</v>
      </c>
      <c r="B13" s="7" t="s">
        <v>30</v>
      </c>
      <c r="C13" s="7" t="s">
        <v>31</v>
      </c>
      <c r="D13" s="7" t="s">
        <v>32</v>
      </c>
      <c r="E13" s="7" t="s">
        <v>33</v>
      </c>
    </row>
    <row r="14" customFormat="false" ht="61.5" hidden="false" customHeight="true" outlineLevel="0" collapsed="false">
      <c r="A14" s="6" t="s">
        <v>34</v>
      </c>
      <c r="B14" s="7" t="s">
        <v>35</v>
      </c>
      <c r="C14" s="7" t="s">
        <v>36</v>
      </c>
      <c r="D14" s="7" t="s">
        <v>37</v>
      </c>
      <c r="E14" s="7" t="s">
        <v>38</v>
      </c>
    </row>
    <row r="17" customFormat="false" ht="15" hidden="false" customHeight="true" outlineLevel="0" collapsed="false">
      <c r="A17" s="4" t="s">
        <v>39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B18" s="8" t="s">
        <v>40</v>
      </c>
      <c r="C18" s="8"/>
      <c r="D18" s="8"/>
      <c r="E18" s="8"/>
      <c r="F18" s="8"/>
    </row>
    <row r="19" customFormat="false" ht="15" hidden="false" customHeight="true" outlineLevel="0" collapsed="false">
      <c r="B19" s="8" t="s">
        <v>41</v>
      </c>
      <c r="C19" s="8"/>
      <c r="D19" s="8"/>
      <c r="E19" s="8"/>
      <c r="F19" s="8"/>
    </row>
    <row r="20" customFormat="false" ht="15" hidden="false" customHeight="true" outlineLevel="0" collapsed="false">
      <c r="B20" s="8" t="s">
        <v>42</v>
      </c>
      <c r="C20" s="8"/>
      <c r="D20" s="8"/>
      <c r="E20" s="8"/>
      <c r="F20" s="8"/>
    </row>
    <row r="21" customFormat="false" ht="15" hidden="false" customHeight="true" outlineLevel="0" collapsed="false">
      <c r="B21" s="8" t="s">
        <v>43</v>
      </c>
      <c r="C21" s="8"/>
      <c r="D21" s="8"/>
      <c r="E21" s="8"/>
      <c r="F21" s="8"/>
    </row>
    <row r="22" customFormat="false" ht="15" hidden="false" customHeight="true" outlineLevel="0" collapsed="false">
      <c r="B22" s="8" t="s">
        <v>44</v>
      </c>
      <c r="C22" s="8"/>
      <c r="D22" s="8"/>
      <c r="E22" s="8"/>
      <c r="F22" s="8"/>
    </row>
    <row r="24" customFormat="false" ht="15" hidden="false" customHeight="true" outlineLevel="0" collapsed="false">
      <c r="A24" s="4" t="s">
        <v>45</v>
      </c>
      <c r="B24" s="4"/>
      <c r="C24" s="4"/>
      <c r="D24" s="4"/>
      <c r="E24" s="4"/>
      <c r="F24" s="4"/>
    </row>
    <row r="25" customFormat="false" ht="42" hidden="false" customHeight="true" outlineLevel="0" collapsed="false">
      <c r="B25" s="9" t="s">
        <v>46</v>
      </c>
      <c r="C25" s="10" t="s">
        <v>47</v>
      </c>
      <c r="D25" s="10"/>
      <c r="E25" s="10"/>
      <c r="F25" s="10"/>
    </row>
    <row r="26" customFormat="false" ht="42" hidden="false" customHeight="true" outlineLevel="0" collapsed="false">
      <c r="B26" s="11" t="s">
        <v>48</v>
      </c>
      <c r="C26" s="10" t="s">
        <v>49</v>
      </c>
      <c r="D26" s="10"/>
      <c r="E26" s="10"/>
      <c r="F26" s="10"/>
    </row>
    <row r="27" customFormat="false" ht="42" hidden="false" customHeight="true" outlineLevel="0" collapsed="false">
      <c r="B27" s="11" t="s">
        <v>48</v>
      </c>
      <c r="C27" s="10" t="s">
        <v>50</v>
      </c>
      <c r="D27" s="10"/>
      <c r="E27" s="10"/>
      <c r="F27" s="10"/>
    </row>
    <row r="28" customFormat="false" ht="42" hidden="false" customHeight="true" outlineLevel="0" collapsed="false">
      <c r="B28" s="12" t="s">
        <v>51</v>
      </c>
      <c r="C28" s="10" t="s">
        <v>52</v>
      </c>
      <c r="D28" s="10"/>
      <c r="E28" s="10"/>
      <c r="F28" s="10"/>
    </row>
    <row r="29" customFormat="false" ht="42" hidden="false" customHeight="true" outlineLevel="0" collapsed="false">
      <c r="B29" s="12" t="s">
        <v>51</v>
      </c>
      <c r="C29" s="10" t="s">
        <v>53</v>
      </c>
      <c r="D29" s="10"/>
      <c r="E29" s="10"/>
      <c r="F29" s="10"/>
    </row>
  </sheetData>
  <mergeCells count="16">
    <mergeCell ref="A1:F1"/>
    <mergeCell ref="A2:F2"/>
    <mergeCell ref="A4:F4"/>
    <mergeCell ref="A10:F10"/>
    <mergeCell ref="A17:F17"/>
    <mergeCell ref="B18:F18"/>
    <mergeCell ref="B19:F19"/>
    <mergeCell ref="B20:F20"/>
    <mergeCell ref="B21:F21"/>
    <mergeCell ref="B22:F22"/>
    <mergeCell ref="A24:F24"/>
    <mergeCell ref="C25:F25"/>
    <mergeCell ref="C26:F26"/>
    <mergeCell ref="C27:F27"/>
    <mergeCell ref="C28:F28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5" min="4" style="1" width="15"/>
    <col collapsed="false" customWidth="true" hidden="false" outlineLevel="0" max="6" min="6" style="1" width="9"/>
    <col collapsed="false" customWidth="true" hidden="false" outlineLevel="0" max="7" min="7" style="1" width="46"/>
    <col collapsed="false" customWidth="true" hidden="false" outlineLevel="0" max="14" min="11" style="0" width="16"/>
  </cols>
  <sheetData>
    <row r="1" customFormat="false" ht="25.5" hidden="false" customHeight="true" outlineLevel="0" collapsed="false">
      <c r="A1" s="2" t="s">
        <v>54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55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K5" s="13" t="s">
        <v>57</v>
      </c>
    </row>
    <row r="6" customFormat="false" ht="30" hidden="false" customHeight="true" outlineLevel="0" collapsed="false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5" t="s">
        <v>64</v>
      </c>
      <c r="K6" s="14" t="s">
        <v>58</v>
      </c>
      <c r="L6" s="14" t="s">
        <v>65</v>
      </c>
      <c r="M6" s="14" t="s">
        <v>66</v>
      </c>
      <c r="N6" s="14" t="s">
        <v>67</v>
      </c>
    </row>
    <row r="7" customFormat="false" ht="15" hidden="false" customHeight="true" outlineLevel="0" collapsed="false">
      <c r="A7" s="15" t="s">
        <v>68</v>
      </c>
      <c r="B7" s="16" t="n">
        <v>1003</v>
      </c>
      <c r="C7" s="16" t="n">
        <v>1834</v>
      </c>
      <c r="D7" s="17" t="n">
        <f aca="false">C7-B7</f>
        <v>831</v>
      </c>
      <c r="E7" s="18" t="n">
        <f aca="false">IFERROR(B7/C7,0)</f>
        <v>0.546892039258451</v>
      </c>
      <c r="F7" s="19" t="s">
        <v>69</v>
      </c>
      <c r="G7" s="20" t="s">
        <v>70</v>
      </c>
      <c r="K7" s="21" t="s">
        <v>68</v>
      </c>
      <c r="L7" s="22" t="n">
        <v>1003</v>
      </c>
      <c r="M7" s="22" t="n">
        <v>831</v>
      </c>
      <c r="N7" s="23" t="n">
        <v>0.547</v>
      </c>
    </row>
    <row r="8" customFormat="false" ht="15" hidden="false" customHeight="true" outlineLevel="0" collapsed="false">
      <c r="A8" s="15" t="s">
        <v>71</v>
      </c>
      <c r="B8" s="16" t="n">
        <v>1101</v>
      </c>
      <c r="C8" s="16" t="n">
        <v>1994</v>
      </c>
      <c r="D8" s="17" t="n">
        <f aca="false">C8-B8</f>
        <v>893</v>
      </c>
      <c r="E8" s="18" t="n">
        <f aca="false">IFERROR(B8/C8,0)</f>
        <v>0.552156469408225</v>
      </c>
      <c r="F8" s="19" t="s">
        <v>69</v>
      </c>
      <c r="G8" s="20" t="s">
        <v>72</v>
      </c>
      <c r="K8" s="21" t="s">
        <v>71</v>
      </c>
      <c r="L8" s="22" t="n">
        <v>1101</v>
      </c>
      <c r="M8" s="22" t="n">
        <v>893</v>
      </c>
      <c r="N8" s="23" t="n">
        <v>0.552</v>
      </c>
    </row>
    <row r="9" customFormat="false" ht="15" hidden="false" customHeight="true" outlineLevel="0" collapsed="false">
      <c r="A9" s="15" t="s">
        <v>73</v>
      </c>
      <c r="B9" s="16" t="n">
        <v>1290</v>
      </c>
      <c r="C9" s="16" t="n">
        <v>2232</v>
      </c>
      <c r="D9" s="17" t="n">
        <f aca="false">C9-B9</f>
        <v>942</v>
      </c>
      <c r="E9" s="18" t="n">
        <f aca="false">IFERROR(B9/C9,0)</f>
        <v>0.577956989247312</v>
      </c>
      <c r="F9" s="19" t="s">
        <v>69</v>
      </c>
      <c r="G9" s="20" t="s">
        <v>74</v>
      </c>
      <c r="K9" s="21" t="s">
        <v>73</v>
      </c>
      <c r="L9" s="22" t="n">
        <v>1290</v>
      </c>
      <c r="M9" s="22" t="n">
        <v>942</v>
      </c>
      <c r="N9" s="23" t="n">
        <v>0.578</v>
      </c>
    </row>
    <row r="10" customFormat="false" ht="15" hidden="false" customHeight="true" outlineLevel="0" collapsed="false">
      <c r="A10" s="15" t="s">
        <v>75</v>
      </c>
      <c r="B10" s="16" t="n">
        <v>1282</v>
      </c>
      <c r="C10" s="16" t="n">
        <v>2241</v>
      </c>
      <c r="D10" s="17" t="n">
        <f aca="false">C10-B10</f>
        <v>959</v>
      </c>
      <c r="E10" s="18" t="n">
        <f aca="false">IFERROR(B10/C10,0)</f>
        <v>0.57206604194556</v>
      </c>
      <c r="F10" s="19" t="s">
        <v>69</v>
      </c>
      <c r="G10" s="20" t="s">
        <v>76</v>
      </c>
      <c r="K10" s="21" t="s">
        <v>75</v>
      </c>
      <c r="L10" s="22" t="n">
        <v>1282</v>
      </c>
      <c r="M10" s="22" t="n">
        <v>959</v>
      </c>
      <c r="N10" s="23" t="n">
        <v>0.572</v>
      </c>
    </row>
    <row r="11" customFormat="false" ht="15" hidden="false" customHeight="true" outlineLevel="0" collapsed="false">
      <c r="A11" s="15" t="s">
        <v>77</v>
      </c>
      <c r="B11" s="16" t="n">
        <v>1319</v>
      </c>
      <c r="C11" s="16" t="n">
        <v>2225</v>
      </c>
      <c r="D11" s="17" t="n">
        <f aca="false">C11-B11</f>
        <v>906</v>
      </c>
      <c r="E11" s="18" t="n">
        <f aca="false">IFERROR(B11/C11,0)</f>
        <v>0.592808988764045</v>
      </c>
      <c r="F11" s="19"/>
      <c r="G11" s="20" t="s">
        <v>78</v>
      </c>
      <c r="K11" s="21" t="s">
        <v>77</v>
      </c>
      <c r="L11" s="22" t="n">
        <v>1319</v>
      </c>
      <c r="M11" s="22" t="n">
        <v>906</v>
      </c>
      <c r="N11" s="23" t="n">
        <v>0.593</v>
      </c>
    </row>
    <row r="12" customFormat="false" ht="15" hidden="false" customHeight="true" outlineLevel="0" collapsed="false">
      <c r="A12" s="15" t="s">
        <v>79</v>
      </c>
      <c r="B12" s="16" t="n">
        <v>1337</v>
      </c>
      <c r="C12" s="16" t="n">
        <v>2262</v>
      </c>
      <c r="D12" s="17" t="n">
        <f aca="false">C12-B12</f>
        <v>925</v>
      </c>
      <c r="E12" s="18" t="n">
        <f aca="false">IFERROR(B12/C12,0)</f>
        <v>0.591069849690539</v>
      </c>
      <c r="F12" s="19" t="s">
        <v>69</v>
      </c>
      <c r="G12" s="20" t="s">
        <v>80</v>
      </c>
      <c r="K12" s="21" t="s">
        <v>79</v>
      </c>
      <c r="L12" s="22" t="n">
        <v>1337</v>
      </c>
      <c r="M12" s="22" t="n">
        <v>925</v>
      </c>
      <c r="N12" s="23" t="n">
        <v>0.591</v>
      </c>
    </row>
    <row r="13" customFormat="false" ht="15" hidden="false" customHeight="true" outlineLevel="0" collapsed="false">
      <c r="A13" s="15" t="s">
        <v>81</v>
      </c>
      <c r="B13" s="16" t="n">
        <v>800</v>
      </c>
      <c r="C13" s="16" t="n">
        <v>1802</v>
      </c>
      <c r="D13" s="17" t="n">
        <f aca="false">C13-B13</f>
        <v>1002</v>
      </c>
      <c r="E13" s="18" t="n">
        <f aca="false">IFERROR(B13/C13,0)</f>
        <v>0.443951165371809</v>
      </c>
      <c r="F13" s="19" t="s">
        <v>82</v>
      </c>
      <c r="G13" s="20" t="s">
        <v>83</v>
      </c>
      <c r="K13" s="21" t="s">
        <v>81</v>
      </c>
      <c r="L13" s="22" t="n">
        <v>800</v>
      </c>
      <c r="M13" s="22" t="n">
        <v>1002</v>
      </c>
      <c r="N13" s="23" t="n">
        <v>0.444</v>
      </c>
    </row>
    <row r="14" customFormat="false" ht="15" hidden="false" customHeight="true" outlineLevel="0" collapsed="false">
      <c r="A14" s="15" t="s">
        <v>84</v>
      </c>
      <c r="B14" s="16" t="n">
        <v>464</v>
      </c>
      <c r="C14" s="16" t="n">
        <v>779</v>
      </c>
      <c r="D14" s="17" t="n">
        <f aca="false">C14-B14</f>
        <v>315</v>
      </c>
      <c r="E14" s="18" t="n">
        <f aca="false">IFERROR(B14/C14,0)</f>
        <v>0.595635430038511</v>
      </c>
      <c r="F14" s="19" t="s">
        <v>82</v>
      </c>
      <c r="G14" s="20" t="s">
        <v>85</v>
      </c>
      <c r="K14" s="21" t="s">
        <v>86</v>
      </c>
      <c r="L14" s="22" t="n">
        <v>852</v>
      </c>
      <c r="M14" s="22" t="n">
        <v>798</v>
      </c>
      <c r="N14" s="23" t="n">
        <v>0.516</v>
      </c>
    </row>
    <row r="15" customFormat="false" ht="15" hidden="false" customHeight="true" outlineLevel="0" collapsed="false">
      <c r="A15" s="15" t="s">
        <v>86</v>
      </c>
      <c r="B15" s="16" t="n">
        <v>852</v>
      </c>
      <c r="C15" s="16" t="n">
        <v>1650</v>
      </c>
      <c r="D15" s="17" t="n">
        <f aca="false">C15-B15</f>
        <v>798</v>
      </c>
      <c r="E15" s="18" t="n">
        <f aca="false">IFERROR(B15/C15,0)</f>
        <v>0.516363636363636</v>
      </c>
      <c r="F15" s="19"/>
      <c r="G15" s="20" t="s">
        <v>87</v>
      </c>
      <c r="K15" s="21" t="s">
        <v>88</v>
      </c>
      <c r="L15" s="22" t="n">
        <v>849</v>
      </c>
      <c r="M15" s="22" t="n">
        <v>535</v>
      </c>
      <c r="N15" s="23" t="n">
        <v>0.613</v>
      </c>
    </row>
    <row r="16" customFormat="false" ht="15" hidden="false" customHeight="true" outlineLevel="0" collapsed="false">
      <c r="A16" s="15" t="s">
        <v>88</v>
      </c>
      <c r="B16" s="16" t="n">
        <v>849</v>
      </c>
      <c r="C16" s="16" t="n">
        <v>1384</v>
      </c>
      <c r="D16" s="17" t="n">
        <f aca="false">C16-B16</f>
        <v>535</v>
      </c>
      <c r="E16" s="18" t="n">
        <f aca="false">IFERROR(B16/C16,0)</f>
        <v>0.613439306358382</v>
      </c>
      <c r="F16" s="19"/>
      <c r="G16" s="20" t="s">
        <v>89</v>
      </c>
      <c r="K16" s="21" t="s">
        <v>90</v>
      </c>
      <c r="L16" s="22" t="n">
        <v>950</v>
      </c>
      <c r="M16" s="22" t="n">
        <v>560</v>
      </c>
      <c r="N16" s="23" t="n">
        <v>0.629</v>
      </c>
    </row>
    <row r="17" customFormat="false" ht="15" hidden="false" customHeight="true" outlineLevel="0" collapsed="false">
      <c r="A17" s="15" t="s">
        <v>90</v>
      </c>
      <c r="B17" s="16" t="n">
        <v>950</v>
      </c>
      <c r="C17" s="16" t="n">
        <v>1510</v>
      </c>
      <c r="D17" s="17" t="n">
        <f aca="false">C17-B17</f>
        <v>560</v>
      </c>
      <c r="E17" s="18" t="n">
        <f aca="false">IFERROR(B17/C17,0)</f>
        <v>0.629139072847682</v>
      </c>
      <c r="F17" s="19"/>
      <c r="G17" s="20" t="s">
        <v>91</v>
      </c>
      <c r="K17" s="21" t="s">
        <v>92</v>
      </c>
      <c r="L17" s="22" t="n">
        <v>1037</v>
      </c>
      <c r="M17" s="22" t="n">
        <v>614</v>
      </c>
      <c r="N17" s="23" t="n">
        <v>0.628</v>
      </c>
    </row>
    <row r="18" customFormat="false" ht="15" hidden="false" customHeight="true" outlineLevel="0" collapsed="false">
      <c r="A18" s="15" t="s">
        <v>92</v>
      </c>
      <c r="B18" s="16" t="n">
        <v>1037</v>
      </c>
      <c r="C18" s="16" t="n">
        <v>1651</v>
      </c>
      <c r="D18" s="17" t="n">
        <f aca="false">C18-B18</f>
        <v>614</v>
      </c>
      <c r="E18" s="18" t="n">
        <f aca="false">IFERROR(B18/C18,0)</f>
        <v>0.628104179285282</v>
      </c>
      <c r="F18" s="19" t="s">
        <v>69</v>
      </c>
      <c r="G18" s="20" t="s">
        <v>93</v>
      </c>
      <c r="K18" s="21" t="s">
        <v>94</v>
      </c>
      <c r="L18" s="22" t="n">
        <v>980</v>
      </c>
      <c r="M18" s="22" t="n">
        <v>539</v>
      </c>
      <c r="N18" s="23" t="n">
        <v>0.645</v>
      </c>
    </row>
    <row r="19" customFormat="false" ht="15" hidden="false" customHeight="true" outlineLevel="0" collapsed="false">
      <c r="A19" s="15" t="s">
        <v>94</v>
      </c>
      <c r="B19" s="16" t="n">
        <v>980</v>
      </c>
      <c r="C19" s="16" t="n">
        <v>1519</v>
      </c>
      <c r="D19" s="17" t="n">
        <f aca="false">C19-B19</f>
        <v>539</v>
      </c>
      <c r="E19" s="18" t="n">
        <f aca="false">IFERROR(B19/C19,0)</f>
        <v>0.645161290322581</v>
      </c>
      <c r="F19" s="19" t="s">
        <v>95</v>
      </c>
      <c r="G19" s="20" t="s">
        <v>96</v>
      </c>
    </row>
    <row r="20" customFormat="false" ht="15" hidden="false" customHeight="false" outlineLevel="0" collapsed="false">
      <c r="K20" s="24" t="s">
        <v>97</v>
      </c>
    </row>
    <row r="21" customFormat="false" ht="15" hidden="false" customHeight="true" outlineLevel="0" collapsed="false">
      <c r="A21" s="4" t="s">
        <v>98</v>
      </c>
      <c r="B21" s="4"/>
      <c r="C21" s="4"/>
      <c r="D21" s="4"/>
      <c r="E21" s="4"/>
      <c r="F21" s="4"/>
      <c r="G21" s="4"/>
    </row>
    <row r="22" customFormat="false" ht="30" hidden="false" customHeight="true" outlineLevel="0" collapsed="false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</row>
    <row r="23" customFormat="false" ht="15" hidden="false" customHeight="true" outlineLevel="0" collapsed="false">
      <c r="A23" s="25" t="s">
        <v>104</v>
      </c>
      <c r="B23" s="26" t="n">
        <f aca="false">D10</f>
        <v>959</v>
      </c>
      <c r="C23" s="26" t="n">
        <f aca="false">D19</f>
        <v>539</v>
      </c>
      <c r="D23" s="27" t="s">
        <v>105</v>
      </c>
      <c r="E23" s="27" t="s">
        <v>106</v>
      </c>
    </row>
    <row r="24" customFormat="false" ht="15" hidden="false" customHeight="true" outlineLevel="0" collapsed="false">
      <c r="A24" s="25" t="s">
        <v>107</v>
      </c>
      <c r="B24" s="28" t="n">
        <f aca="false">E7</f>
        <v>0.546892039258451</v>
      </c>
      <c r="C24" s="28" t="n">
        <f aca="false">E19</f>
        <v>0.645161290322581</v>
      </c>
      <c r="D24" s="27" t="s">
        <v>108</v>
      </c>
      <c r="E24" s="27" t="s">
        <v>109</v>
      </c>
    </row>
    <row r="27" customFormat="false" ht="15" hidden="false" customHeight="true" outlineLevel="0" collapsed="false">
      <c r="A27" s="4" t="s">
        <v>110</v>
      </c>
      <c r="B27" s="4"/>
      <c r="C27" s="4"/>
      <c r="D27" s="4"/>
      <c r="E27" s="4"/>
      <c r="F27" s="4"/>
      <c r="G27" s="4"/>
    </row>
    <row r="28" customFormat="false" ht="30" hidden="false" customHeight="true" outlineLevel="0" collapsed="false">
      <c r="A28" s="5" t="s">
        <v>99</v>
      </c>
      <c r="B28" s="5" t="s">
        <v>111</v>
      </c>
      <c r="C28" s="5" t="s">
        <v>112</v>
      </c>
      <c r="D28" s="5" t="s">
        <v>102</v>
      </c>
      <c r="E28" s="5" t="s">
        <v>113</v>
      </c>
    </row>
    <row r="29" customFormat="false" ht="15" hidden="false" customHeight="true" outlineLevel="0" collapsed="false">
      <c r="A29" s="15" t="s">
        <v>114</v>
      </c>
      <c r="B29" s="29" t="n">
        <v>-0.13</v>
      </c>
      <c r="C29" s="15" t="s">
        <v>115</v>
      </c>
      <c r="D29" s="15" t="s">
        <v>108</v>
      </c>
      <c r="E29" s="15" t="s">
        <v>116</v>
      </c>
    </row>
    <row r="30" customFormat="false" ht="15" hidden="false" customHeight="true" outlineLevel="0" collapsed="false">
      <c r="A30" s="15" t="s">
        <v>117</v>
      </c>
      <c r="B30" s="29" t="n">
        <v>0.7</v>
      </c>
      <c r="C30" s="15" t="s">
        <v>115</v>
      </c>
      <c r="D30" s="15" t="s">
        <v>108</v>
      </c>
      <c r="E30" s="15" t="s">
        <v>118</v>
      </c>
    </row>
    <row r="31" customFormat="false" ht="15" hidden="false" customHeight="true" outlineLevel="0" collapsed="false">
      <c r="A31" s="15" t="s">
        <v>119</v>
      </c>
      <c r="B31" s="29" t="n">
        <v>0.53</v>
      </c>
      <c r="C31" s="15" t="s">
        <v>115</v>
      </c>
      <c r="D31" s="15" t="s">
        <v>108</v>
      </c>
      <c r="E31" s="15" t="s">
        <v>120</v>
      </c>
    </row>
    <row r="32" customFormat="false" ht="15" hidden="false" customHeight="true" outlineLevel="0" collapsed="false">
      <c r="A32" s="15" t="s">
        <v>121</v>
      </c>
      <c r="B32" s="29" t="n">
        <v>0.54</v>
      </c>
      <c r="C32" s="15" t="s">
        <v>122</v>
      </c>
      <c r="D32" s="15" t="s">
        <v>108</v>
      </c>
      <c r="E32" s="15" t="s">
        <v>123</v>
      </c>
    </row>
    <row r="33" customFormat="false" ht="15" hidden="false" customHeight="true" outlineLevel="0" collapsed="false">
      <c r="A33" s="15" t="s">
        <v>124</v>
      </c>
      <c r="B33" s="29" t="n">
        <v>0.253</v>
      </c>
      <c r="C33" s="15" t="s">
        <v>115</v>
      </c>
      <c r="D33" s="15" t="s">
        <v>108</v>
      </c>
      <c r="E33" s="15" t="s">
        <v>125</v>
      </c>
    </row>
    <row r="34" customFormat="false" ht="15" hidden="false" customHeight="true" outlineLevel="0" collapsed="false">
      <c r="A34" s="15" t="s">
        <v>126</v>
      </c>
      <c r="B34" s="29" t="n">
        <v>0.548</v>
      </c>
      <c r="C34" s="15" t="s">
        <v>115</v>
      </c>
      <c r="D34" s="15" t="s">
        <v>108</v>
      </c>
      <c r="E34" s="15" t="s">
        <v>127</v>
      </c>
    </row>
    <row r="36" customFormat="false" ht="15" hidden="false" customHeight="true" outlineLevel="0" collapsed="false">
      <c r="A36" s="30" t="s">
        <v>128</v>
      </c>
      <c r="B36" s="30"/>
      <c r="C36" s="30"/>
      <c r="D36" s="30"/>
      <c r="E36" s="30"/>
      <c r="F36" s="30"/>
      <c r="G36" s="30"/>
    </row>
    <row r="37" customFormat="false" ht="15" hidden="false" customHeight="true" outlineLevel="0" collapsed="false">
      <c r="A37" s="30" t="s">
        <v>129</v>
      </c>
      <c r="B37" s="30"/>
      <c r="C37" s="30"/>
      <c r="D37" s="30"/>
      <c r="E37" s="30"/>
      <c r="F37" s="30"/>
      <c r="G37" s="30"/>
    </row>
    <row r="47" customFormat="false" ht="15" hidden="false" customHeight="false" outlineLevel="0" collapsed="false">
      <c r="K47" s="13" t="s">
        <v>57</v>
      </c>
    </row>
    <row r="48" customFormat="false" ht="15" hidden="false" customHeight="false" outlineLevel="0" collapsed="false">
      <c r="K48" s="14" t="s">
        <v>99</v>
      </c>
      <c r="L48" s="14" t="s">
        <v>130</v>
      </c>
    </row>
    <row r="49" customFormat="false" ht="15" hidden="false" customHeight="false" outlineLevel="0" collapsed="false">
      <c r="K49" s="21" t="s">
        <v>131</v>
      </c>
      <c r="L49" s="23" t="n">
        <v>-0.13</v>
      </c>
    </row>
    <row r="50" customFormat="false" ht="15" hidden="false" customHeight="false" outlineLevel="0" collapsed="false">
      <c r="K50" s="21" t="s">
        <v>132</v>
      </c>
      <c r="L50" s="23" t="n">
        <v>0.253</v>
      </c>
    </row>
    <row r="51" customFormat="false" ht="15" hidden="false" customHeight="false" outlineLevel="0" collapsed="false">
      <c r="K51" s="21" t="s">
        <v>126</v>
      </c>
      <c r="L51" s="23" t="n">
        <v>0.548</v>
      </c>
    </row>
  </sheetData>
  <mergeCells count="7">
    <mergeCell ref="A1:G1"/>
    <mergeCell ref="A2:G2"/>
    <mergeCell ref="A4:G4"/>
    <mergeCell ref="A21:G21"/>
    <mergeCell ref="A27:G27"/>
    <mergeCell ref="A36:G36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7" min="4" style="1" width="13"/>
    <col collapsed="false" customWidth="true" hidden="false" outlineLevel="0" max="8" min="8" style="1" width="40"/>
    <col collapsed="false" customWidth="true" hidden="false" outlineLevel="0" max="13" min="11" style="0" width="16"/>
  </cols>
  <sheetData>
    <row r="1" customFormat="false" ht="25.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135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K5" s="13" t="s">
        <v>57</v>
      </c>
    </row>
    <row r="6" customFormat="false" ht="30" hidden="false" customHeight="true" outlineLevel="0" collapsed="false">
      <c r="A6" s="5" t="s">
        <v>136</v>
      </c>
      <c r="B6" s="5" t="s">
        <v>137</v>
      </c>
      <c r="C6" s="5" t="s">
        <v>138</v>
      </c>
      <c r="D6" s="5" t="s">
        <v>139</v>
      </c>
      <c r="E6" s="5" t="s">
        <v>140</v>
      </c>
      <c r="F6" s="5" t="s">
        <v>141</v>
      </c>
      <c r="G6" s="5" t="s">
        <v>142</v>
      </c>
      <c r="H6" s="5" t="s">
        <v>64</v>
      </c>
      <c r="K6" s="14" t="s">
        <v>136</v>
      </c>
      <c r="L6" s="14" t="s">
        <v>143</v>
      </c>
      <c r="M6" s="14" t="s">
        <v>144</v>
      </c>
    </row>
    <row r="7" customFormat="false" ht="15" hidden="false" customHeight="true" outlineLevel="0" collapsed="false">
      <c r="A7" s="31" t="s">
        <v>145</v>
      </c>
      <c r="B7" s="32" t="n">
        <v>193.7</v>
      </c>
      <c r="C7" s="32" t="n">
        <v>242.7</v>
      </c>
      <c r="D7" s="33" t="n">
        <f aca="false">B7/$B$18</f>
        <v>0.38197594162887</v>
      </c>
      <c r="E7" s="33" t="n">
        <f aca="false">C7/$C$18</f>
        <v>0.398849630238291</v>
      </c>
      <c r="F7" s="34" t="n">
        <f aca="false">(E7-D7)*100</f>
        <v>1.68736886094208</v>
      </c>
      <c r="G7" s="33" t="n">
        <f aca="false">IFERROR(C7/B7-1,0)</f>
        <v>0.252968508002065</v>
      </c>
      <c r="H7" s="20" t="s">
        <v>146</v>
      </c>
      <c r="K7" s="21" t="s">
        <v>145</v>
      </c>
      <c r="L7" s="23" t="n">
        <v>0.399</v>
      </c>
      <c r="M7" s="35" t="n">
        <v>1.7</v>
      </c>
    </row>
    <row r="8" customFormat="false" ht="15" hidden="false" customHeight="true" outlineLevel="0" collapsed="false">
      <c r="A8" s="15" t="s">
        <v>147</v>
      </c>
      <c r="B8" s="36" t="n">
        <v>86.3</v>
      </c>
      <c r="C8" s="36" t="n">
        <v>87.7</v>
      </c>
      <c r="D8" s="18" t="n">
        <f aca="false">B8/$B$18</f>
        <v>0.170183395779925</v>
      </c>
      <c r="E8" s="18" t="n">
        <f aca="false">C8/$C$18</f>
        <v>0.144124897288414</v>
      </c>
      <c r="F8" s="37" t="n">
        <f aca="false">(E8-D8)*100</f>
        <v>-2.60584984915109</v>
      </c>
      <c r="G8" s="18" t="n">
        <f aca="false">IFERROR(C8/B8-1,0)</f>
        <v>0.0162224797219004</v>
      </c>
      <c r="H8" s="20" t="s">
        <v>148</v>
      </c>
      <c r="K8" s="21" t="s">
        <v>147</v>
      </c>
      <c r="L8" s="23" t="n">
        <v>0.144</v>
      </c>
      <c r="M8" s="35" t="n">
        <v>-2.6</v>
      </c>
    </row>
    <row r="9" customFormat="false" ht="15" hidden="false" customHeight="true" outlineLevel="0" collapsed="false">
      <c r="A9" s="15" t="s">
        <v>149</v>
      </c>
      <c r="B9" s="36" t="n">
        <v>48.5</v>
      </c>
      <c r="C9" s="36" t="n">
        <v>52.6</v>
      </c>
      <c r="D9" s="18" t="n">
        <f aca="false">B9/$B$18</f>
        <v>0.0956418852297377</v>
      </c>
      <c r="E9" s="18" t="n">
        <f aca="false">C9/$C$18</f>
        <v>0.0864420706655711</v>
      </c>
      <c r="F9" s="37" t="n">
        <f aca="false">(E9-D9)*100</f>
        <v>-0.919981456416664</v>
      </c>
      <c r="G9" s="18" t="n">
        <f aca="false">IFERROR(C9/B9-1,0)</f>
        <v>0.0845360824742267</v>
      </c>
      <c r="H9" s="20" t="s">
        <v>150</v>
      </c>
      <c r="K9" s="21" t="s">
        <v>149</v>
      </c>
      <c r="L9" s="23" t="n">
        <v>0.086</v>
      </c>
      <c r="M9" s="35" t="n">
        <v>-0.9</v>
      </c>
    </row>
    <row r="10" customFormat="false" ht="15" hidden="false" customHeight="true" outlineLevel="0" collapsed="false">
      <c r="A10" s="15" t="s">
        <v>151</v>
      </c>
      <c r="B10" s="36" t="n">
        <v>23.7</v>
      </c>
      <c r="C10" s="36" t="n">
        <v>31.2</v>
      </c>
      <c r="D10" s="18" t="n">
        <f aca="false">B10/$B$18</f>
        <v>0.0467363439163873</v>
      </c>
      <c r="E10" s="18" t="n">
        <f aca="false">C10/$C$18</f>
        <v>0.0512736236647494</v>
      </c>
      <c r="F10" s="37" t="n">
        <f aca="false">(E10-D10)*100</f>
        <v>0.453727974836209</v>
      </c>
      <c r="G10" s="18" t="n">
        <f aca="false">IFERROR(C10/B10-1,0)</f>
        <v>0.316455696202532</v>
      </c>
      <c r="H10" s="20" t="s">
        <v>152</v>
      </c>
      <c r="K10" s="21" t="s">
        <v>151</v>
      </c>
      <c r="L10" s="23" t="n">
        <v>0.051</v>
      </c>
      <c r="M10" s="35" t="n">
        <v>0.5</v>
      </c>
    </row>
    <row r="11" customFormat="false" ht="15" hidden="false" customHeight="true" outlineLevel="0" collapsed="false">
      <c r="A11" s="15" t="s">
        <v>153</v>
      </c>
      <c r="B11" s="36" t="n">
        <v>20.6</v>
      </c>
      <c r="C11" s="36" t="n">
        <v>28</v>
      </c>
      <c r="D11" s="18" t="n">
        <f aca="false">B11/$B$18</f>
        <v>0.0406231512522185</v>
      </c>
      <c r="E11" s="18" t="n">
        <f aca="false">C11/$C$18</f>
        <v>0.0460147904683648</v>
      </c>
      <c r="F11" s="37" t="n">
        <f aca="false">(E11-D11)*100</f>
        <v>0.539163921614633</v>
      </c>
      <c r="G11" s="18" t="n">
        <f aca="false">IFERROR(C11/B11-1,0)</f>
        <v>0.359223300970874</v>
      </c>
      <c r="H11" s="20"/>
      <c r="K11" s="21" t="s">
        <v>153</v>
      </c>
      <c r="L11" s="23" t="n">
        <v>0.046</v>
      </c>
      <c r="M11" s="35" t="n">
        <v>0.5</v>
      </c>
    </row>
    <row r="12" customFormat="false" ht="15" hidden="false" customHeight="true" outlineLevel="0" collapsed="false">
      <c r="A12" s="15" t="s">
        <v>154</v>
      </c>
      <c r="B12" s="36" t="n">
        <v>21.4</v>
      </c>
      <c r="C12" s="36" t="n">
        <v>22.7</v>
      </c>
      <c r="D12" s="18" t="n">
        <f aca="false">B12/$B$18</f>
        <v>0.0422007493591008</v>
      </c>
      <c r="E12" s="18" t="n">
        <f aca="false">C12/$C$18</f>
        <v>0.0373048479868529</v>
      </c>
      <c r="F12" s="37" t="n">
        <f aca="false">(E12-D12)*100</f>
        <v>-0.489590137224785</v>
      </c>
      <c r="G12" s="18" t="n">
        <f aca="false">IFERROR(C12/B12-1,0)</f>
        <v>0.0607476635514019</v>
      </c>
      <c r="H12" s="20" t="s">
        <v>155</v>
      </c>
      <c r="K12" s="21" t="s">
        <v>154</v>
      </c>
      <c r="L12" s="23" t="n">
        <v>0.037</v>
      </c>
      <c r="M12" s="35" t="n">
        <v>-0.5</v>
      </c>
    </row>
    <row r="13" customFormat="false" ht="15" hidden="false" customHeight="true" outlineLevel="0" collapsed="false">
      <c r="A13" s="15" t="s">
        <v>156</v>
      </c>
      <c r="B13" s="36" t="n">
        <v>15.4</v>
      </c>
      <c r="C13" s="36" t="n">
        <v>20.9</v>
      </c>
      <c r="D13" s="18" t="n">
        <f aca="false">B13/$B$18</f>
        <v>0.0303687635574837</v>
      </c>
      <c r="E13" s="18" t="n">
        <f aca="false">C13/$C$18</f>
        <v>0.0343467543138866</v>
      </c>
      <c r="F13" s="37" t="n">
        <f aca="false">(E13-D13)*100</f>
        <v>0.397799075640288</v>
      </c>
      <c r="G13" s="18" t="n">
        <f aca="false">IFERROR(C13/B13-1,0)</f>
        <v>0.357142857142857</v>
      </c>
      <c r="H13" s="20"/>
      <c r="K13" s="21" t="s">
        <v>156</v>
      </c>
      <c r="L13" s="23" t="n">
        <v>0.034</v>
      </c>
      <c r="M13" s="35" t="n">
        <v>0.4</v>
      </c>
    </row>
    <row r="14" customFormat="false" ht="15" hidden="false" customHeight="true" outlineLevel="0" collapsed="false">
      <c r="A14" s="15" t="s">
        <v>157</v>
      </c>
      <c r="B14" s="36" t="n">
        <v>20.4</v>
      </c>
      <c r="C14" s="36" t="n">
        <v>19</v>
      </c>
      <c r="D14" s="18" t="n">
        <f aca="false">B14/$B$18</f>
        <v>0.0402287517254979</v>
      </c>
      <c r="E14" s="18" t="n">
        <f aca="false">C14/$C$18</f>
        <v>0.0312243221035333</v>
      </c>
      <c r="F14" s="37" t="n">
        <f aca="false">(E14-D14)*100</f>
        <v>-0.900442962196465</v>
      </c>
      <c r="G14" s="18" t="n">
        <f aca="false">IFERROR(C14/B14-1,0)</f>
        <v>-0.0686274509803921</v>
      </c>
      <c r="H14" s="20" t="s">
        <v>158</v>
      </c>
      <c r="K14" s="21" t="s">
        <v>157</v>
      </c>
      <c r="L14" s="23" t="n">
        <v>0.031</v>
      </c>
      <c r="M14" s="35" t="n">
        <v>-0.9</v>
      </c>
    </row>
    <row r="15" customFormat="false" ht="15" hidden="false" customHeight="true" outlineLevel="0" collapsed="false">
      <c r="A15" s="15" t="s">
        <v>159</v>
      </c>
      <c r="B15" s="36" t="n">
        <v>11.1</v>
      </c>
      <c r="C15" s="36" t="n">
        <v>15.7</v>
      </c>
      <c r="D15" s="18" t="n">
        <f aca="false">B15/$B$18</f>
        <v>0.0218891737329915</v>
      </c>
      <c r="E15" s="18" t="n">
        <f aca="false">C15/$C$18</f>
        <v>0.0258011503697617</v>
      </c>
      <c r="F15" s="37" t="n">
        <f aca="false">(E15-D15)*100</f>
        <v>0.391197663677019</v>
      </c>
      <c r="G15" s="18" t="n">
        <f aca="false">IFERROR(C15/B15-1,0)</f>
        <v>0.414414414414414</v>
      </c>
      <c r="H15" s="20"/>
      <c r="K15" s="21" t="s">
        <v>159</v>
      </c>
      <c r="L15" s="23" t="n">
        <v>0.026</v>
      </c>
      <c r="M15" s="35" t="n">
        <v>0.4</v>
      </c>
    </row>
    <row r="16" customFormat="false" ht="15" hidden="false" customHeight="true" outlineLevel="0" collapsed="false">
      <c r="A16" s="15" t="s">
        <v>160</v>
      </c>
      <c r="B16" s="36" t="n">
        <v>12.8</v>
      </c>
      <c r="C16" s="36" t="n">
        <v>14.5</v>
      </c>
      <c r="D16" s="18" t="n">
        <f aca="false">B16/$B$18</f>
        <v>0.0252415697101164</v>
      </c>
      <c r="E16" s="18" t="n">
        <f aca="false">C16/$C$18</f>
        <v>0.0238290879211175</v>
      </c>
      <c r="F16" s="37" t="n">
        <f aca="false">(E16-D16)*100</f>
        <v>-0.141248178899885</v>
      </c>
      <c r="G16" s="18" t="n">
        <f aca="false">IFERROR(C16/B16-1,0)</f>
        <v>0.1328125</v>
      </c>
      <c r="H16" s="20"/>
      <c r="K16" s="21" t="s">
        <v>160</v>
      </c>
      <c r="L16" s="23" t="n">
        <v>0.024</v>
      </c>
      <c r="M16" s="35" t="n">
        <v>-0.1</v>
      </c>
    </row>
    <row r="17" customFormat="false" ht="15" hidden="false" customHeight="true" outlineLevel="0" collapsed="false">
      <c r="A17" s="15" t="s">
        <v>161</v>
      </c>
      <c r="B17" s="36" t="n">
        <v>53.2</v>
      </c>
      <c r="C17" s="36" t="n">
        <v>73.5</v>
      </c>
      <c r="D17" s="18" t="n">
        <f aca="false">B17/$B$18</f>
        <v>0.104910274107671</v>
      </c>
      <c r="E17" s="18" t="n">
        <f aca="false">C17/$C$18</f>
        <v>0.120788824979458</v>
      </c>
      <c r="F17" s="37" t="n">
        <f aca="false">(E17-D17)*100</f>
        <v>1.58785508717866</v>
      </c>
      <c r="G17" s="18" t="n">
        <f aca="false">IFERROR(C17/B17-1,0)</f>
        <v>0.381578947368421</v>
      </c>
      <c r="H17" s="20" t="s">
        <v>162</v>
      </c>
    </row>
    <row r="18" customFormat="false" ht="15" hidden="false" customHeight="true" outlineLevel="0" collapsed="false">
      <c r="A18" s="38" t="s">
        <v>163</v>
      </c>
      <c r="B18" s="39" t="n">
        <v>507.1</v>
      </c>
      <c r="C18" s="39" t="n">
        <v>608.5</v>
      </c>
      <c r="D18" s="40" t="n">
        <f aca="false">B18/B18</f>
        <v>1</v>
      </c>
      <c r="E18" s="40" t="n">
        <f aca="false">C18/C18</f>
        <v>1</v>
      </c>
      <c r="F18" s="41"/>
      <c r="G18" s="40" t="n">
        <f aca="false">C18/B18-1</f>
        <v>0.199960560047328</v>
      </c>
      <c r="H18" s="20" t="s">
        <v>164</v>
      </c>
    </row>
    <row r="20" customFormat="false" ht="15" hidden="false" customHeight="true" outlineLevel="0" collapsed="false">
      <c r="A20" s="4" t="s">
        <v>165</v>
      </c>
      <c r="B20" s="4"/>
      <c r="C20" s="4"/>
      <c r="D20" s="4"/>
      <c r="E20" s="4"/>
      <c r="F20" s="4"/>
      <c r="G20" s="4"/>
      <c r="H20" s="4"/>
    </row>
    <row r="21" customFormat="false" ht="30" hidden="false" customHeight="true" outlineLevel="0" collapsed="false">
      <c r="A21" s="5" t="s">
        <v>99</v>
      </c>
      <c r="B21" s="5" t="s">
        <v>166</v>
      </c>
      <c r="C21" s="5" t="s">
        <v>167</v>
      </c>
      <c r="D21" s="5" t="s">
        <v>168</v>
      </c>
      <c r="E21" s="5" t="s">
        <v>102</v>
      </c>
      <c r="F21" s="5"/>
      <c r="G21" s="5"/>
      <c r="H21" s="5" t="s">
        <v>64</v>
      </c>
    </row>
    <row r="22" customFormat="false" ht="15" hidden="false" customHeight="true" outlineLevel="0" collapsed="false">
      <c r="A22" s="15" t="s">
        <v>169</v>
      </c>
      <c r="B22" s="36" t="n">
        <v>213</v>
      </c>
      <c r="C22" s="36" t="n">
        <v>269</v>
      </c>
      <c r="D22" s="18" t="n">
        <f aca="false">C22/B22-1</f>
        <v>0.262910798122066</v>
      </c>
      <c r="E22" s="15" t="s">
        <v>170</v>
      </c>
      <c r="H22" s="20" t="s">
        <v>171</v>
      </c>
    </row>
    <row r="23" customFormat="false" ht="15" hidden="false" customHeight="true" outlineLevel="0" collapsed="false">
      <c r="A23" s="15" t="s">
        <v>172</v>
      </c>
      <c r="B23" s="36" t="n">
        <v>63.9</v>
      </c>
      <c r="C23" s="36" t="n">
        <v>90.5</v>
      </c>
      <c r="D23" s="18" t="n">
        <f aca="false">C23/B23-1</f>
        <v>0.416275430359937</v>
      </c>
      <c r="E23" s="15" t="s">
        <v>170</v>
      </c>
      <c r="H23" s="20" t="s">
        <v>173</v>
      </c>
    </row>
    <row r="24" customFormat="false" ht="15" hidden="false" customHeight="true" outlineLevel="0" collapsed="false">
      <c r="A24" s="42" t="s">
        <v>174</v>
      </c>
      <c r="B24" s="33" t="n">
        <f aca="false">B23/B22</f>
        <v>0.3</v>
      </c>
      <c r="C24" s="33" t="n">
        <f aca="false">C23/C22</f>
        <v>0.336431226765799</v>
      </c>
      <c r="D24" s="43" t="n">
        <f aca="false">(C24-B24)*100</f>
        <v>3.64312267657992</v>
      </c>
      <c r="E24" s="15" t="s">
        <v>108</v>
      </c>
      <c r="H24" s="20" t="s">
        <v>175</v>
      </c>
    </row>
    <row r="26" customFormat="false" ht="15" hidden="false" customHeight="true" outlineLevel="0" collapsed="false">
      <c r="A26" s="4" t="s">
        <v>176</v>
      </c>
      <c r="B26" s="4"/>
      <c r="C26" s="4"/>
      <c r="D26" s="4"/>
      <c r="E26" s="4"/>
      <c r="F26" s="4"/>
      <c r="G26" s="4"/>
      <c r="H26" s="4"/>
    </row>
    <row r="27" customFormat="false" ht="30" hidden="false" customHeight="true" outlineLevel="0" collapsed="false">
      <c r="A27" s="5" t="s">
        <v>112</v>
      </c>
      <c r="B27" s="5" t="s">
        <v>177</v>
      </c>
      <c r="C27" s="5" t="s">
        <v>178</v>
      </c>
      <c r="D27" s="5" t="s">
        <v>179</v>
      </c>
      <c r="E27" s="5"/>
      <c r="F27" s="5"/>
      <c r="G27" s="5"/>
      <c r="H27" s="5" t="s">
        <v>64</v>
      </c>
    </row>
    <row r="28" customFormat="false" ht="15" hidden="false" customHeight="true" outlineLevel="0" collapsed="false">
      <c r="A28" s="15" t="s">
        <v>180</v>
      </c>
      <c r="B28" s="29" t="n">
        <v>0.368</v>
      </c>
      <c r="C28" s="44"/>
      <c r="D28" s="44"/>
      <c r="H28" s="20" t="s">
        <v>181</v>
      </c>
    </row>
    <row r="29" customFormat="false" ht="15" hidden="false" customHeight="true" outlineLevel="0" collapsed="false">
      <c r="A29" s="15" t="s">
        <v>182</v>
      </c>
      <c r="B29" s="29" t="n">
        <v>0.38</v>
      </c>
      <c r="C29" s="44"/>
      <c r="D29" s="44"/>
      <c r="H29" s="20" t="s">
        <v>181</v>
      </c>
    </row>
    <row r="30" customFormat="false" ht="15" hidden="false" customHeight="true" outlineLevel="0" collapsed="false">
      <c r="A30" s="15" t="s">
        <v>183</v>
      </c>
      <c r="B30" s="29" t="n">
        <v>0.392</v>
      </c>
      <c r="C30" s="29" t="n">
        <v>0.3</v>
      </c>
      <c r="D30" s="44"/>
      <c r="H30" s="20" t="s">
        <v>184</v>
      </c>
    </row>
    <row r="31" customFormat="false" ht="15" hidden="false" customHeight="true" outlineLevel="0" collapsed="false">
      <c r="A31" s="15" t="s">
        <v>185</v>
      </c>
      <c r="B31" s="29" t="n">
        <v>0.399</v>
      </c>
      <c r="C31" s="29" t="n">
        <v>0.336</v>
      </c>
      <c r="D31" s="29" t="n">
        <v>0.467</v>
      </c>
      <c r="H31" s="20" t="s">
        <v>186</v>
      </c>
    </row>
    <row r="33" customFormat="false" ht="15" hidden="false" customHeight="true" outlineLevel="0" collapsed="false">
      <c r="A33" s="30" t="s">
        <v>187</v>
      </c>
      <c r="B33" s="30"/>
      <c r="C33" s="30"/>
      <c r="D33" s="30"/>
      <c r="E33" s="30"/>
      <c r="F33" s="30"/>
      <c r="G33" s="30"/>
      <c r="H33" s="30"/>
    </row>
    <row r="45" customFormat="false" ht="15" hidden="false" customHeight="false" outlineLevel="0" collapsed="false">
      <c r="K45" s="13" t="s">
        <v>57</v>
      </c>
    </row>
    <row r="46" customFormat="false" ht="22.35" hidden="false" customHeight="false" outlineLevel="0" collapsed="false">
      <c r="K46" s="14" t="s">
        <v>112</v>
      </c>
      <c r="L46" s="14" t="s">
        <v>188</v>
      </c>
    </row>
    <row r="47" customFormat="false" ht="15" hidden="false" customHeight="false" outlineLevel="0" collapsed="false">
      <c r="K47" s="21" t="s">
        <v>183</v>
      </c>
      <c r="L47" s="23" t="n">
        <v>0.3</v>
      </c>
    </row>
    <row r="48" customFormat="false" ht="15" hidden="false" customHeight="false" outlineLevel="0" collapsed="false">
      <c r="K48" s="21" t="s">
        <v>185</v>
      </c>
      <c r="L48" s="23" t="n">
        <v>0.336</v>
      </c>
    </row>
  </sheetData>
  <mergeCells count="6">
    <mergeCell ref="A1:H1"/>
    <mergeCell ref="A2:H2"/>
    <mergeCell ref="A4:H4"/>
    <mergeCell ref="A20:H20"/>
    <mergeCell ref="A26:H26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7" min="5" style="1" width="13"/>
    <col collapsed="false" customWidth="true" hidden="false" outlineLevel="0" max="8" min="8" style="1" width="42"/>
    <col collapsed="false" customWidth="true" hidden="false" outlineLevel="0" max="13" min="11" style="0" width="16"/>
    <col collapsed="false" customWidth="true" hidden="false" outlineLevel="0" max="16" min="15" style="0" width="16"/>
  </cols>
  <sheetData>
    <row r="1" customFormat="false" ht="25.5" hidden="false" customHeight="true" outlineLevel="0" collapsed="false">
      <c r="A1" s="2" t="s">
        <v>189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190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191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K5" s="13" t="s">
        <v>57</v>
      </c>
    </row>
    <row r="6" customFormat="false" ht="30" hidden="false" customHeight="true" outlineLevel="0" collapsed="false">
      <c r="A6" s="5" t="s">
        <v>192</v>
      </c>
      <c r="B6" s="5" t="s">
        <v>193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198</v>
      </c>
      <c r="H6" s="5" t="s">
        <v>64</v>
      </c>
      <c r="K6" s="14" t="s">
        <v>192</v>
      </c>
      <c r="L6" s="14" t="s">
        <v>199</v>
      </c>
      <c r="M6" s="14" t="s">
        <v>185</v>
      </c>
    </row>
    <row r="7" customFormat="false" ht="15" hidden="false" customHeight="true" outlineLevel="0" collapsed="false">
      <c r="A7" s="15" t="s">
        <v>200</v>
      </c>
      <c r="B7" s="36" t="n">
        <v>131.57</v>
      </c>
      <c r="C7" s="36" t="n">
        <v>192.12</v>
      </c>
      <c r="D7" s="18" t="n">
        <f aca="false">C7/B7-1</f>
        <v>0.460211294368017</v>
      </c>
      <c r="E7" s="18" t="n">
        <f aca="false">B7/$B$11</f>
        <v>0.735479903851529</v>
      </c>
      <c r="F7" s="18" t="n">
        <f aca="false">C7/$C$11</f>
        <v>0.693774375270836</v>
      </c>
      <c r="G7" s="29" t="n">
        <v>0.2063</v>
      </c>
      <c r="H7" s="20" t="s">
        <v>201</v>
      </c>
      <c r="K7" s="21" t="s">
        <v>200</v>
      </c>
      <c r="L7" s="45" t="n">
        <v>131.57</v>
      </c>
      <c r="M7" s="45" t="n">
        <v>192.12</v>
      </c>
    </row>
    <row r="8" customFormat="false" ht="15" hidden="false" customHeight="true" outlineLevel="0" collapsed="false">
      <c r="A8" s="15" t="s">
        <v>202</v>
      </c>
      <c r="B8" s="36" t="n">
        <v>28.4</v>
      </c>
      <c r="C8" s="36" t="n">
        <v>53.26</v>
      </c>
      <c r="D8" s="18" t="n">
        <f aca="false">C8/B8-1</f>
        <v>0.875352112676056</v>
      </c>
      <c r="E8" s="18" t="n">
        <f aca="false">B8/$B$11</f>
        <v>0.158756777908212</v>
      </c>
      <c r="F8" s="18" t="n">
        <f aca="false">C8/$C$11</f>
        <v>0.192329914776831</v>
      </c>
      <c r="G8" s="29" t="n">
        <v>0.2396</v>
      </c>
      <c r="H8" s="20" t="s">
        <v>203</v>
      </c>
      <c r="K8" s="21" t="s">
        <v>202</v>
      </c>
      <c r="L8" s="45" t="n">
        <v>28.4</v>
      </c>
      <c r="M8" s="45" t="n">
        <v>53.26</v>
      </c>
    </row>
    <row r="9" customFormat="false" ht="15" hidden="false" customHeight="true" outlineLevel="0" collapsed="false">
      <c r="A9" s="15" t="s">
        <v>204</v>
      </c>
      <c r="B9" s="36" t="n">
        <v>11.25</v>
      </c>
      <c r="C9" s="36" t="n">
        <v>18.81</v>
      </c>
      <c r="D9" s="18" t="n">
        <f aca="false">C9/B9-1</f>
        <v>0.672</v>
      </c>
      <c r="E9" s="18" t="n">
        <f aca="false">B9/$B$11</f>
        <v>0.06288780815026</v>
      </c>
      <c r="F9" s="18" t="n">
        <f aca="false">C9/$C$11</f>
        <v>0.0679257547306081</v>
      </c>
      <c r="G9" s="29" t="n">
        <v>0.2704</v>
      </c>
      <c r="H9" s="20" t="s">
        <v>205</v>
      </c>
      <c r="K9" s="21" t="s">
        <v>206</v>
      </c>
      <c r="L9" s="45" t="n">
        <v>11.25</v>
      </c>
      <c r="M9" s="45" t="n">
        <v>18.81</v>
      </c>
    </row>
    <row r="10" customFormat="false" ht="15" hidden="false" customHeight="true" outlineLevel="0" collapsed="false">
      <c r="A10" s="15" t="s">
        <v>207</v>
      </c>
      <c r="B10" s="36" t="n">
        <v>7.67</v>
      </c>
      <c r="C10" s="36" t="n">
        <v>12.73</v>
      </c>
      <c r="D10" s="18" t="n">
        <f aca="false">C10/B10-1</f>
        <v>0.659713168187745</v>
      </c>
      <c r="E10" s="18" t="n">
        <f aca="false">B10/$B$11</f>
        <v>0.0428755100899994</v>
      </c>
      <c r="F10" s="18" t="n">
        <f aca="false">C10/$C$11</f>
        <v>0.0459699552217247</v>
      </c>
      <c r="G10" s="44"/>
      <c r="H10" s="20" t="s">
        <v>208</v>
      </c>
      <c r="K10" s="21" t="s">
        <v>209</v>
      </c>
      <c r="L10" s="45" t="n">
        <v>7.67</v>
      </c>
      <c r="M10" s="45" t="n">
        <v>12.73</v>
      </c>
    </row>
    <row r="11" customFormat="false" ht="15" hidden="false" customHeight="true" outlineLevel="0" collapsed="false">
      <c r="A11" s="38" t="s">
        <v>210</v>
      </c>
      <c r="B11" s="46" t="n">
        <f aca="false">SUM(B7:B10)</f>
        <v>178.89</v>
      </c>
      <c r="C11" s="46" t="n">
        <f aca="false">SUM(C7:C10)</f>
        <v>276.92</v>
      </c>
      <c r="D11" s="40" t="n">
        <f aca="false">C11/B11-1</f>
        <v>0.547990385152888</v>
      </c>
      <c r="E11" s="40" t="n">
        <f aca="false">B11/B11</f>
        <v>1</v>
      </c>
      <c r="F11" s="40" t="n">
        <f aca="false">C11/C11</f>
        <v>1</v>
      </c>
      <c r="G11" s="47" t="n">
        <v>0.2393</v>
      </c>
      <c r="H11" s="20" t="s">
        <v>211</v>
      </c>
    </row>
    <row r="13" customFormat="false" ht="15" hidden="false" customHeight="true" outlineLevel="0" collapsed="false">
      <c r="A13" s="4" t="s">
        <v>212</v>
      </c>
      <c r="B13" s="4"/>
      <c r="C13" s="4"/>
      <c r="D13" s="4"/>
      <c r="E13" s="4"/>
      <c r="F13" s="4"/>
      <c r="G13" s="4"/>
      <c r="H13" s="4"/>
      <c r="O13" s="13" t="s">
        <v>57</v>
      </c>
    </row>
    <row r="14" customFormat="false" ht="30" hidden="false" customHeight="true" outlineLevel="0" collapsed="false">
      <c r="A14" s="5" t="s">
        <v>213</v>
      </c>
      <c r="B14" s="5" t="s">
        <v>194</v>
      </c>
      <c r="C14" s="5" t="s">
        <v>214</v>
      </c>
      <c r="D14" s="5" t="s">
        <v>215</v>
      </c>
      <c r="E14" s="5"/>
      <c r="F14" s="5"/>
      <c r="G14" s="5"/>
      <c r="H14" s="5" t="s">
        <v>64</v>
      </c>
      <c r="O14" s="14" t="s">
        <v>213</v>
      </c>
      <c r="P14" s="14" t="s">
        <v>216</v>
      </c>
    </row>
    <row r="15" customFormat="false" ht="15" hidden="false" customHeight="true" outlineLevel="0" collapsed="false">
      <c r="A15" s="15" t="s">
        <v>217</v>
      </c>
      <c r="B15" s="36" t="n">
        <v>189.79</v>
      </c>
      <c r="C15" s="18" t="n">
        <f aca="false">B15/$B$18</f>
        <v>0.685360392893255</v>
      </c>
      <c r="D15" s="29" t="n">
        <v>0.2116</v>
      </c>
      <c r="H15" s="20" t="s">
        <v>218</v>
      </c>
      <c r="O15" s="21" t="s">
        <v>217</v>
      </c>
      <c r="P15" s="45" t="n">
        <v>189.79</v>
      </c>
    </row>
    <row r="16" customFormat="false" ht="15" hidden="false" customHeight="true" outlineLevel="0" collapsed="false">
      <c r="A16" s="15" t="s">
        <v>219</v>
      </c>
      <c r="B16" s="36" t="n">
        <v>80.1</v>
      </c>
      <c r="C16" s="18" t="n">
        <f aca="false">B16/$B$18</f>
        <v>0.289253213924599</v>
      </c>
      <c r="D16" s="44"/>
      <c r="H16" s="20" t="s">
        <v>220</v>
      </c>
      <c r="O16" s="21" t="s">
        <v>219</v>
      </c>
      <c r="P16" s="45" t="n">
        <v>80.1</v>
      </c>
    </row>
    <row r="17" customFormat="false" ht="15" hidden="false" customHeight="true" outlineLevel="0" collapsed="false">
      <c r="A17" s="15" t="s">
        <v>221</v>
      </c>
      <c r="B17" s="36" t="n">
        <v>7.03</v>
      </c>
      <c r="C17" s="18" t="n">
        <f aca="false">B17/$B$18</f>
        <v>0.0253863931821465</v>
      </c>
      <c r="D17" s="44"/>
      <c r="H17" s="20" t="s">
        <v>222</v>
      </c>
      <c r="O17" s="21" t="s">
        <v>223</v>
      </c>
      <c r="P17" s="45" t="n">
        <v>7.03</v>
      </c>
    </row>
    <row r="18" customFormat="false" ht="15" hidden="false" customHeight="true" outlineLevel="0" collapsed="false">
      <c r="A18" s="38" t="s">
        <v>224</v>
      </c>
      <c r="B18" s="46" t="n">
        <f aca="false">SUM(B15:B17)</f>
        <v>276.92</v>
      </c>
      <c r="C18" s="40" t="n">
        <f aca="false">B18/B18</f>
        <v>1</v>
      </c>
      <c r="D18" s="48"/>
    </row>
    <row r="19" customFormat="false" ht="15" hidden="false" customHeight="true" outlineLevel="0" collapsed="false">
      <c r="A19" s="30" t="s">
        <v>225</v>
      </c>
      <c r="B19" s="30"/>
      <c r="C19" s="30"/>
      <c r="D19" s="30"/>
      <c r="E19" s="30"/>
      <c r="F19" s="30"/>
      <c r="G19" s="30"/>
      <c r="H19" s="30"/>
    </row>
    <row r="21" customFormat="false" ht="15" hidden="false" customHeight="true" outlineLevel="0" collapsed="false">
      <c r="A21" s="4" t="s">
        <v>226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112</v>
      </c>
      <c r="B22" s="5" t="s">
        <v>227</v>
      </c>
      <c r="C22" s="5" t="s">
        <v>228</v>
      </c>
      <c r="D22" s="5" t="s">
        <v>229</v>
      </c>
      <c r="E22" s="5" t="s">
        <v>230</v>
      </c>
      <c r="F22" s="5"/>
      <c r="G22" s="5"/>
      <c r="H22" s="5" t="s">
        <v>64</v>
      </c>
    </row>
    <row r="23" customFormat="false" ht="15" hidden="false" customHeight="true" outlineLevel="0" collapsed="false">
      <c r="A23" s="15" t="s">
        <v>180</v>
      </c>
      <c r="B23" s="44"/>
      <c r="C23" s="29" t="n">
        <v>0.3267</v>
      </c>
      <c r="D23" s="44"/>
      <c r="E23" s="44"/>
      <c r="H23" s="20" t="s">
        <v>231</v>
      </c>
    </row>
    <row r="24" customFormat="false" ht="15" hidden="false" customHeight="true" outlineLevel="0" collapsed="false">
      <c r="A24" s="15" t="s">
        <v>182</v>
      </c>
      <c r="B24" s="36" t="n">
        <v>110.34</v>
      </c>
      <c r="C24" s="29" t="n">
        <v>0.3048</v>
      </c>
      <c r="D24" s="44"/>
      <c r="E24" s="44"/>
      <c r="H24" s="20"/>
    </row>
    <row r="25" customFormat="false" ht="15" hidden="false" customHeight="true" outlineLevel="0" collapsed="false">
      <c r="A25" s="15" t="s">
        <v>199</v>
      </c>
      <c r="B25" s="36" t="n">
        <v>61.2</v>
      </c>
      <c r="C25" s="29" t="n">
        <v>0.3421</v>
      </c>
      <c r="D25" s="44"/>
      <c r="E25" s="44"/>
      <c r="H25" s="20" t="s">
        <v>232</v>
      </c>
    </row>
    <row r="26" customFormat="false" ht="15" hidden="false" customHeight="true" outlineLevel="0" collapsed="false">
      <c r="A26" s="15" t="s">
        <v>185</v>
      </c>
      <c r="B26" s="36" t="n">
        <v>87.13</v>
      </c>
      <c r="C26" s="29" t="n">
        <v>0.3146</v>
      </c>
      <c r="D26" s="29" t="n">
        <v>0.2997</v>
      </c>
      <c r="E26" s="29" t="n">
        <v>0.2116</v>
      </c>
      <c r="H26" s="20" t="s">
        <v>233</v>
      </c>
    </row>
    <row r="28" customFormat="false" ht="15" hidden="false" customHeight="true" outlineLevel="0" collapsed="false">
      <c r="A28" s="4" t="s">
        <v>234</v>
      </c>
      <c r="B28" s="4"/>
      <c r="C28" s="4"/>
      <c r="D28" s="4"/>
      <c r="E28" s="4"/>
      <c r="F28" s="4"/>
      <c r="G28" s="4"/>
      <c r="H28" s="4"/>
    </row>
    <row r="29" customFormat="false" ht="27.75" hidden="false" customHeight="true" outlineLevel="0" collapsed="false">
      <c r="A29" s="10" t="s">
        <v>235</v>
      </c>
      <c r="B29" s="10"/>
      <c r="C29" s="10"/>
      <c r="D29" s="10"/>
      <c r="E29" s="10"/>
      <c r="F29" s="10"/>
      <c r="G29" s="10"/>
      <c r="H29" s="10"/>
    </row>
    <row r="30" customFormat="false" ht="27.75" hidden="false" customHeight="true" outlineLevel="0" collapsed="false">
      <c r="A30" s="10" t="s">
        <v>236</v>
      </c>
      <c r="B30" s="10"/>
      <c r="C30" s="10"/>
      <c r="D30" s="10"/>
      <c r="E30" s="10"/>
      <c r="F30" s="10"/>
      <c r="G30" s="10"/>
      <c r="H30" s="10"/>
    </row>
    <row r="31" customFormat="false" ht="27.75" hidden="false" customHeight="true" outlineLevel="0" collapsed="false">
      <c r="A31" s="10" t="s">
        <v>237</v>
      </c>
      <c r="B31" s="10"/>
      <c r="C31" s="10"/>
      <c r="D31" s="10"/>
      <c r="E31" s="10"/>
      <c r="F31" s="10"/>
      <c r="G31" s="10"/>
      <c r="H31" s="10"/>
    </row>
  </sheetData>
  <mergeCells count="10">
    <mergeCell ref="A1:H1"/>
    <mergeCell ref="A2:H2"/>
    <mergeCell ref="A4:H4"/>
    <mergeCell ref="A13:H13"/>
    <mergeCell ref="A19:H19"/>
    <mergeCell ref="A21:H21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3"/>
    <col collapsed="false" customWidth="true" hidden="false" outlineLevel="0" max="7" min="6" style="1" width="12"/>
    <col collapsed="false" customWidth="true" hidden="false" outlineLevel="0" max="8" min="8" style="1" width="44"/>
    <col collapsed="false" customWidth="true" hidden="false" outlineLevel="0" max="14" min="11" style="0" width="16"/>
  </cols>
  <sheetData>
    <row r="1" customFormat="false" ht="25.5" hidden="false" customHeight="true" outlineLevel="0" collapsed="false">
      <c r="A1" s="2" t="s">
        <v>238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239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240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K5" s="13" t="s">
        <v>57</v>
      </c>
    </row>
    <row r="6" customFormat="false" ht="30" hidden="false" customHeight="true" outlineLevel="0" collapsed="false">
      <c r="A6" s="5" t="s">
        <v>136</v>
      </c>
      <c r="B6" s="5" t="s">
        <v>180</v>
      </c>
      <c r="C6" s="5" t="s">
        <v>182</v>
      </c>
      <c r="D6" s="5" t="s">
        <v>183</v>
      </c>
      <c r="E6" s="5" t="s">
        <v>185</v>
      </c>
      <c r="F6" s="5"/>
      <c r="G6" s="5"/>
      <c r="H6" s="5" t="s">
        <v>64</v>
      </c>
      <c r="K6" s="14" t="s">
        <v>136</v>
      </c>
      <c r="L6" s="14" t="s">
        <v>180</v>
      </c>
      <c r="M6" s="14" t="s">
        <v>182</v>
      </c>
      <c r="N6" s="14" t="s">
        <v>183</v>
      </c>
    </row>
    <row r="7" customFormat="false" ht="15" hidden="false" customHeight="true" outlineLevel="0" collapsed="false">
      <c r="A7" s="31" t="s">
        <v>145</v>
      </c>
      <c r="B7" s="49" t="n">
        <v>44.12</v>
      </c>
      <c r="C7" s="49" t="n">
        <v>50.75</v>
      </c>
      <c r="D7" s="49" t="n">
        <v>72.2</v>
      </c>
      <c r="E7" s="49" t="n">
        <v>43.28</v>
      </c>
      <c r="H7" s="20" t="s">
        <v>241</v>
      </c>
      <c r="K7" s="21" t="s">
        <v>145</v>
      </c>
      <c r="L7" s="50" t="n">
        <v>44.12</v>
      </c>
      <c r="M7" s="50" t="n">
        <v>50.75</v>
      </c>
      <c r="N7" s="50" t="n">
        <v>72.2</v>
      </c>
    </row>
    <row r="8" customFormat="false" ht="15" hidden="false" customHeight="true" outlineLevel="0" collapsed="false">
      <c r="A8" s="15" t="s">
        <v>242</v>
      </c>
      <c r="B8" s="51" t="n">
        <v>10.75</v>
      </c>
      <c r="C8" s="51" t="n">
        <v>-8.62</v>
      </c>
      <c r="D8" s="51" t="n">
        <v>-6.25</v>
      </c>
      <c r="E8" s="44"/>
      <c r="H8" s="20" t="s">
        <v>243</v>
      </c>
      <c r="K8" s="21" t="s">
        <v>242</v>
      </c>
      <c r="L8" s="50" t="n">
        <v>10.75</v>
      </c>
      <c r="M8" s="50" t="n">
        <v>-8.62</v>
      </c>
      <c r="N8" s="50" t="n">
        <v>-6.25</v>
      </c>
    </row>
    <row r="9" customFormat="false" ht="15" hidden="false" customHeight="true" outlineLevel="0" collapsed="false">
      <c r="A9" s="15" t="s">
        <v>244</v>
      </c>
      <c r="B9" s="51" t="n">
        <v>13.58</v>
      </c>
      <c r="C9" s="51" t="n">
        <v>-7.04</v>
      </c>
      <c r="D9" s="44"/>
      <c r="E9" s="44"/>
      <c r="H9" s="20" t="s">
        <v>245</v>
      </c>
      <c r="K9" s="21" t="s">
        <v>244</v>
      </c>
      <c r="L9" s="50" t="n">
        <v>13.58</v>
      </c>
      <c r="M9" s="50" t="n">
        <v>-7.04</v>
      </c>
      <c r="N9" s="50" t="n">
        <v>-5</v>
      </c>
    </row>
    <row r="10" customFormat="false" ht="15" hidden="false" customHeight="true" outlineLevel="0" collapsed="false">
      <c r="A10" s="15" t="s">
        <v>246</v>
      </c>
      <c r="B10" s="44"/>
      <c r="C10" s="44"/>
      <c r="D10" s="44"/>
      <c r="E10" s="44"/>
      <c r="H10" s="20" t="s">
        <v>247</v>
      </c>
    </row>
    <row r="11" customFormat="false" ht="15" hidden="false" customHeight="true" outlineLevel="0" collapsed="false">
      <c r="A11" s="15" t="s">
        <v>248</v>
      </c>
      <c r="B11" s="44"/>
      <c r="C11" s="44"/>
      <c r="D11" s="44"/>
      <c r="E11" s="44"/>
      <c r="H11" s="20" t="s">
        <v>249</v>
      </c>
      <c r="K11" s="24" t="s">
        <v>250</v>
      </c>
    </row>
    <row r="13" customFormat="false" ht="15" hidden="false" customHeight="true" outlineLevel="0" collapsed="false">
      <c r="A13" s="30" t="s">
        <v>251</v>
      </c>
      <c r="B13" s="30"/>
      <c r="C13" s="30"/>
      <c r="D13" s="30"/>
      <c r="E13" s="30"/>
      <c r="F13" s="30"/>
      <c r="G13" s="30"/>
      <c r="H13" s="30"/>
    </row>
    <row r="15" customFormat="false" ht="15" hidden="false" customHeight="true" outlineLevel="0" collapsed="false">
      <c r="A15" s="4" t="s">
        <v>252</v>
      </c>
      <c r="B15" s="4"/>
      <c r="C15" s="4"/>
      <c r="D15" s="4"/>
      <c r="E15" s="4"/>
      <c r="F15" s="4"/>
      <c r="G15" s="4"/>
      <c r="H15" s="4"/>
    </row>
    <row r="16" customFormat="false" ht="30" hidden="false" customHeight="true" outlineLevel="0" collapsed="false">
      <c r="A16" s="5" t="s">
        <v>253</v>
      </c>
      <c r="B16" s="5" t="s">
        <v>254</v>
      </c>
      <c r="C16" s="5" t="s">
        <v>112</v>
      </c>
      <c r="D16" s="5"/>
      <c r="E16" s="5"/>
      <c r="F16" s="5"/>
      <c r="G16" s="5"/>
      <c r="H16" s="5" t="s">
        <v>64</v>
      </c>
    </row>
    <row r="17" customFormat="false" ht="15" hidden="false" customHeight="true" outlineLevel="0" collapsed="false">
      <c r="A17" s="42" t="s">
        <v>145</v>
      </c>
      <c r="B17" s="52" t="n">
        <v>0.2502</v>
      </c>
      <c r="C17" s="15" t="s">
        <v>199</v>
      </c>
      <c r="H17" s="20" t="s">
        <v>255</v>
      </c>
    </row>
    <row r="18" customFormat="false" ht="15" hidden="false" customHeight="true" outlineLevel="0" collapsed="false">
      <c r="A18" s="42" t="s">
        <v>145</v>
      </c>
      <c r="B18" s="52" t="n">
        <v>0.2393</v>
      </c>
      <c r="C18" s="15" t="s">
        <v>185</v>
      </c>
      <c r="H18" s="20" t="s">
        <v>256</v>
      </c>
    </row>
    <row r="19" customFormat="false" ht="15" hidden="false" customHeight="true" outlineLevel="0" collapsed="false">
      <c r="A19" s="42" t="s">
        <v>257</v>
      </c>
      <c r="B19" s="52" t="n">
        <v>0.2396</v>
      </c>
      <c r="C19" s="15" t="s">
        <v>185</v>
      </c>
      <c r="H19" s="20" t="s">
        <v>258</v>
      </c>
    </row>
    <row r="20" customFormat="false" ht="15" hidden="false" customHeight="true" outlineLevel="0" collapsed="false">
      <c r="A20" s="42" t="s">
        <v>259</v>
      </c>
      <c r="B20" s="52" t="n">
        <v>0.2704</v>
      </c>
      <c r="C20" s="15" t="s">
        <v>185</v>
      </c>
      <c r="H20" s="20" t="s">
        <v>260</v>
      </c>
    </row>
    <row r="21" customFormat="false" ht="15" hidden="false" customHeight="true" outlineLevel="0" collapsed="false">
      <c r="A21" s="15" t="s">
        <v>261</v>
      </c>
      <c r="B21" s="29" t="n">
        <v>0.109</v>
      </c>
      <c r="C21" s="15" t="s">
        <v>182</v>
      </c>
      <c r="H21" s="20" t="s">
        <v>262</v>
      </c>
    </row>
    <row r="22" customFormat="false" ht="15" hidden="false" customHeight="true" outlineLevel="0" collapsed="false">
      <c r="A22" s="15" t="s">
        <v>242</v>
      </c>
      <c r="B22" s="29" t="n">
        <v>0.074</v>
      </c>
      <c r="C22" s="15" t="s">
        <v>182</v>
      </c>
      <c r="H22" s="20" t="s">
        <v>263</v>
      </c>
    </row>
    <row r="25" customFormat="false" ht="15" hidden="false" customHeight="true" outlineLevel="0" collapsed="false">
      <c r="A25" s="4" t="s">
        <v>264</v>
      </c>
      <c r="B25" s="4"/>
      <c r="C25" s="4"/>
      <c r="D25" s="4"/>
      <c r="E25" s="4"/>
      <c r="F25" s="4"/>
      <c r="G25" s="4"/>
      <c r="H25" s="4"/>
    </row>
    <row r="26" customFormat="false" ht="30" hidden="false" customHeight="true" outlineLevel="0" collapsed="false">
      <c r="A26" s="5" t="s">
        <v>265</v>
      </c>
      <c r="B26" s="5" t="s">
        <v>145</v>
      </c>
      <c r="C26" s="5" t="s">
        <v>266</v>
      </c>
      <c r="D26" s="5"/>
      <c r="E26" s="5"/>
      <c r="F26" s="5"/>
      <c r="G26" s="5"/>
      <c r="H26" s="5" t="s">
        <v>267</v>
      </c>
    </row>
    <row r="27" customFormat="false" ht="23.25" hidden="false" customHeight="true" outlineLevel="0" collapsed="false">
      <c r="A27" s="6" t="s">
        <v>268</v>
      </c>
      <c r="B27" s="7" t="s">
        <v>269</v>
      </c>
      <c r="C27" s="7" t="s">
        <v>270</v>
      </c>
      <c r="H27" s="20" t="s">
        <v>271</v>
      </c>
    </row>
    <row r="28" customFormat="false" ht="23.25" hidden="false" customHeight="true" outlineLevel="0" collapsed="false">
      <c r="A28" s="6" t="s">
        <v>272</v>
      </c>
      <c r="B28" s="7" t="s">
        <v>273</v>
      </c>
      <c r="C28" s="7" t="s">
        <v>274</v>
      </c>
      <c r="H28" s="20" t="s">
        <v>275</v>
      </c>
    </row>
    <row r="29" customFormat="false" ht="23.25" hidden="false" customHeight="true" outlineLevel="0" collapsed="false">
      <c r="A29" s="6" t="s">
        <v>276</v>
      </c>
      <c r="B29" s="7" t="s">
        <v>277</v>
      </c>
      <c r="C29" s="7" t="s">
        <v>278</v>
      </c>
      <c r="H29" s="20" t="s">
        <v>279</v>
      </c>
    </row>
    <row r="30" customFormat="false" ht="34.5" hidden="false" customHeight="true" outlineLevel="0" collapsed="false">
      <c r="A30" s="6" t="s">
        <v>280</v>
      </c>
      <c r="B30" s="7" t="s">
        <v>281</v>
      </c>
      <c r="C30" s="7" t="s">
        <v>282</v>
      </c>
      <c r="H30" s="20" t="s">
        <v>283</v>
      </c>
    </row>
    <row r="31" customFormat="false" ht="45.75" hidden="false" customHeight="true" outlineLevel="0" collapsed="false">
      <c r="A31" s="6" t="s">
        <v>284</v>
      </c>
      <c r="B31" s="7" t="s">
        <v>285</v>
      </c>
      <c r="C31" s="7" t="s">
        <v>286</v>
      </c>
      <c r="H31" s="20" t="s">
        <v>287</v>
      </c>
    </row>
    <row r="32" customFormat="false" ht="23.25" hidden="false" customHeight="true" outlineLevel="0" collapsed="false">
      <c r="A32" s="6" t="s">
        <v>288</v>
      </c>
      <c r="B32" s="7" t="s">
        <v>289</v>
      </c>
      <c r="C32" s="7" t="s">
        <v>290</v>
      </c>
      <c r="H32" s="20" t="s">
        <v>291</v>
      </c>
    </row>
    <row r="34" customFormat="false" ht="15" hidden="false" customHeight="true" outlineLevel="0" collapsed="false">
      <c r="A34" s="30" t="s">
        <v>292</v>
      </c>
      <c r="B34" s="30"/>
      <c r="C34" s="30"/>
      <c r="D34" s="30"/>
      <c r="E34" s="30"/>
      <c r="F34" s="30"/>
      <c r="G34" s="30"/>
      <c r="H34" s="30"/>
    </row>
    <row r="35" customFormat="false" ht="15" hidden="false" customHeight="true" outlineLevel="0" collapsed="false">
      <c r="A35" s="30" t="s">
        <v>293</v>
      </c>
      <c r="B35" s="30"/>
      <c r="C35" s="30"/>
      <c r="D35" s="30"/>
      <c r="E35" s="30"/>
      <c r="F35" s="30"/>
      <c r="G35" s="30"/>
      <c r="H35" s="30"/>
    </row>
    <row r="45" customFormat="false" ht="15" hidden="false" customHeight="false" outlineLevel="0" collapsed="false">
      <c r="K45" s="13" t="s">
        <v>57</v>
      </c>
    </row>
    <row r="46" customFormat="false" ht="15" hidden="false" customHeight="false" outlineLevel="0" collapsed="false">
      <c r="K46" s="14" t="s">
        <v>253</v>
      </c>
      <c r="L46" s="14" t="s">
        <v>254</v>
      </c>
    </row>
    <row r="47" customFormat="false" ht="15" hidden="false" customHeight="false" outlineLevel="0" collapsed="false">
      <c r="K47" s="21" t="s">
        <v>294</v>
      </c>
      <c r="L47" s="23" t="n">
        <v>0.2393</v>
      </c>
    </row>
    <row r="48" customFormat="false" ht="15" hidden="false" customHeight="false" outlineLevel="0" collapsed="false">
      <c r="K48" s="21" t="s">
        <v>295</v>
      </c>
      <c r="L48" s="23" t="n">
        <v>0.2396</v>
      </c>
    </row>
    <row r="49" customFormat="false" ht="15" hidden="false" customHeight="false" outlineLevel="0" collapsed="false">
      <c r="K49" s="21" t="s">
        <v>296</v>
      </c>
      <c r="L49" s="23" t="n">
        <v>0.2704</v>
      </c>
    </row>
    <row r="50" customFormat="false" ht="15" hidden="false" customHeight="false" outlineLevel="0" collapsed="false">
      <c r="K50" s="21" t="s">
        <v>297</v>
      </c>
      <c r="L50" s="23" t="n">
        <v>0.109</v>
      </c>
    </row>
    <row r="51" customFormat="false" ht="15" hidden="false" customHeight="false" outlineLevel="0" collapsed="false">
      <c r="K51" s="21" t="s">
        <v>298</v>
      </c>
      <c r="L51" s="23" t="n">
        <v>0.074</v>
      </c>
    </row>
  </sheetData>
  <mergeCells count="8">
    <mergeCell ref="A1:H1"/>
    <mergeCell ref="A2:H2"/>
    <mergeCell ref="A4:H4"/>
    <mergeCell ref="A13:H13"/>
    <mergeCell ref="A15:H15"/>
    <mergeCell ref="A25:H25"/>
    <mergeCell ref="A34:H34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5" min="4" style="1" width="13"/>
    <col collapsed="false" customWidth="true" hidden="false" outlineLevel="0" max="7" min="6" style="1" width="12"/>
    <col collapsed="false" customWidth="true" hidden="false" outlineLevel="0" max="8" min="8" style="1" width="44"/>
    <col collapsed="false" customWidth="true" hidden="false" outlineLevel="0" max="12" min="11" style="0" width="16"/>
    <col collapsed="false" customWidth="true" hidden="false" outlineLevel="0" max="16" min="15" style="0" width="16"/>
  </cols>
  <sheetData>
    <row r="1" customFormat="false" ht="25.5" hidden="false" customHeight="true" outlineLevel="0" collapsed="false">
      <c r="A1" s="2" t="s">
        <v>299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300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301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K5" s="13" t="s">
        <v>57</v>
      </c>
      <c r="O5" s="13" t="s">
        <v>57</v>
      </c>
    </row>
    <row r="6" customFormat="false" ht="30" hidden="false" customHeight="true" outlineLevel="0" collapsed="false">
      <c r="A6" s="5" t="s">
        <v>112</v>
      </c>
      <c r="B6" s="5" t="s">
        <v>302</v>
      </c>
      <c r="C6" s="5" t="s">
        <v>303</v>
      </c>
      <c r="D6" s="5" t="s">
        <v>304</v>
      </c>
      <c r="E6" s="5" t="s">
        <v>305</v>
      </c>
      <c r="F6" s="5" t="s">
        <v>63</v>
      </c>
      <c r="G6" s="5"/>
      <c r="H6" s="5" t="s">
        <v>64</v>
      </c>
      <c r="K6" s="14" t="s">
        <v>306</v>
      </c>
      <c r="L6" s="14" t="s">
        <v>307</v>
      </c>
      <c r="O6" s="14" t="s">
        <v>112</v>
      </c>
      <c r="P6" s="14" t="s">
        <v>308</v>
      </c>
    </row>
    <row r="7" customFormat="false" ht="15" hidden="false" customHeight="true" outlineLevel="0" collapsed="false">
      <c r="A7" s="15" t="s">
        <v>199</v>
      </c>
      <c r="B7" s="36" t="n">
        <v>269.7</v>
      </c>
      <c r="C7" s="36" t="n">
        <v>69.1</v>
      </c>
      <c r="D7" s="33" t="n">
        <f aca="false">C7/B7</f>
        <v>0.256210604375232</v>
      </c>
      <c r="F7" s="27"/>
      <c r="H7" s="20" t="s">
        <v>309</v>
      </c>
      <c r="K7" s="21" t="s">
        <v>310</v>
      </c>
      <c r="L7" s="22" t="n">
        <v>240</v>
      </c>
      <c r="O7" s="21" t="s">
        <v>182</v>
      </c>
      <c r="P7" s="23" t="n">
        <v>0.158</v>
      </c>
    </row>
    <row r="8" customFormat="false" ht="15" hidden="false" customHeight="true" outlineLevel="0" collapsed="false">
      <c r="A8" s="15" t="s">
        <v>185</v>
      </c>
      <c r="B8" s="36" t="n">
        <v>461.3</v>
      </c>
      <c r="C8" s="36" t="n">
        <v>125</v>
      </c>
      <c r="D8" s="33" t="n">
        <f aca="false">C8/B8</f>
        <v>0.270973336223716</v>
      </c>
      <c r="E8" s="53" t="n">
        <f aca="false">B8/B7-1</f>
        <v>0.710418984056359</v>
      </c>
      <c r="F8" s="27"/>
      <c r="H8" s="20" t="s">
        <v>311</v>
      </c>
      <c r="K8" s="21" t="s">
        <v>312</v>
      </c>
      <c r="L8" s="22" t="n">
        <v>421.2</v>
      </c>
      <c r="O8" s="21" t="s">
        <v>199</v>
      </c>
      <c r="P8" s="23" t="n">
        <v>0.159</v>
      </c>
    </row>
    <row r="9" customFormat="false" ht="15" hidden="false" customHeight="false" outlineLevel="0" collapsed="false">
      <c r="K9" s="21" t="s">
        <v>313</v>
      </c>
      <c r="L9" s="22" t="n">
        <v>600</v>
      </c>
      <c r="O9" s="21" t="s">
        <v>185</v>
      </c>
      <c r="P9" s="23" t="n">
        <v>0.192</v>
      </c>
    </row>
    <row r="10" customFormat="false" ht="15" hidden="false" customHeight="true" outlineLevel="0" collapsed="false">
      <c r="A10" s="4" t="s">
        <v>314</v>
      </c>
      <c r="B10" s="4"/>
      <c r="C10" s="4"/>
      <c r="D10" s="4"/>
      <c r="E10" s="4"/>
      <c r="F10" s="4"/>
      <c r="G10" s="4"/>
      <c r="H10" s="4"/>
      <c r="O10" s="21" t="s">
        <v>315</v>
      </c>
      <c r="P10" s="23" t="n">
        <v>0.5</v>
      </c>
    </row>
    <row r="11" customFormat="false" ht="30" hidden="false" customHeight="true" outlineLevel="0" collapsed="false">
      <c r="A11" s="5" t="s">
        <v>306</v>
      </c>
      <c r="B11" s="5" t="s">
        <v>316</v>
      </c>
      <c r="C11" s="5" t="s">
        <v>317</v>
      </c>
      <c r="D11" s="5" t="s">
        <v>318</v>
      </c>
      <c r="E11" s="5" t="s">
        <v>319</v>
      </c>
      <c r="F11" s="5" t="s">
        <v>63</v>
      </c>
      <c r="G11" s="5"/>
      <c r="H11" s="5" t="s">
        <v>64</v>
      </c>
    </row>
    <row r="12" customFormat="false" ht="15" hidden="false" customHeight="true" outlineLevel="0" collapsed="false">
      <c r="A12" s="15" t="s">
        <v>310</v>
      </c>
      <c r="B12" s="36" t="n">
        <v>240</v>
      </c>
      <c r="C12" s="36" t="n">
        <v>314</v>
      </c>
      <c r="D12" s="36" t="n">
        <v>170.7</v>
      </c>
      <c r="E12" s="44"/>
      <c r="F12" s="19" t="s">
        <v>69</v>
      </c>
      <c r="H12" s="20" t="s">
        <v>320</v>
      </c>
    </row>
    <row r="13" customFormat="false" ht="15" hidden="false" customHeight="true" outlineLevel="0" collapsed="false">
      <c r="A13" s="15" t="s">
        <v>312</v>
      </c>
      <c r="B13" s="36" t="n">
        <v>421.2</v>
      </c>
      <c r="C13" s="36" t="n">
        <v>612.4</v>
      </c>
      <c r="D13" s="36" t="n">
        <v>275.3</v>
      </c>
      <c r="E13" s="18" t="n">
        <f aca="false">B13/B12-1</f>
        <v>0.755</v>
      </c>
      <c r="F13" s="19"/>
      <c r="H13" s="20" t="s">
        <v>321</v>
      </c>
    </row>
    <row r="14" customFormat="false" ht="15" hidden="false" customHeight="true" outlineLevel="0" collapsed="false">
      <c r="A14" s="15" t="s">
        <v>322</v>
      </c>
      <c r="B14" s="36" t="n">
        <v>600</v>
      </c>
      <c r="C14" s="36" t="n">
        <v>801</v>
      </c>
      <c r="D14" s="36" t="n">
        <v>353.4</v>
      </c>
      <c r="E14" s="18" t="n">
        <f aca="false">B14/B13-1</f>
        <v>0.424501424501425</v>
      </c>
      <c r="F14" s="19" t="s">
        <v>95</v>
      </c>
      <c r="H14" s="20" t="s">
        <v>323</v>
      </c>
    </row>
    <row r="17" customFormat="false" ht="15" hidden="false" customHeight="true" outlineLevel="0" collapsed="false">
      <c r="A17" s="4" t="s">
        <v>324</v>
      </c>
      <c r="B17" s="4"/>
      <c r="C17" s="4"/>
      <c r="D17" s="4"/>
      <c r="E17" s="4"/>
      <c r="F17" s="4"/>
      <c r="G17" s="4"/>
      <c r="H17" s="4"/>
    </row>
    <row r="18" customFormat="false" ht="30" hidden="false" customHeight="true" outlineLevel="0" collapsed="false">
      <c r="A18" s="5" t="s">
        <v>112</v>
      </c>
      <c r="B18" s="5" t="s">
        <v>325</v>
      </c>
      <c r="C18" s="5" t="s">
        <v>326</v>
      </c>
      <c r="D18" s="5" t="s">
        <v>327</v>
      </c>
      <c r="E18" s="5" t="s">
        <v>328</v>
      </c>
      <c r="F18" s="5" t="s">
        <v>63</v>
      </c>
      <c r="G18" s="5"/>
      <c r="H18" s="5" t="s">
        <v>64</v>
      </c>
    </row>
    <row r="19" customFormat="false" ht="15" hidden="false" customHeight="true" outlineLevel="0" collapsed="false">
      <c r="A19" s="15" t="s">
        <v>182</v>
      </c>
      <c r="B19" s="36" t="n">
        <v>57.3</v>
      </c>
      <c r="C19" s="36" t="n">
        <v>362.01</v>
      </c>
      <c r="D19" s="33" t="n">
        <f aca="false">B19/C19</f>
        <v>0.158282920361316</v>
      </c>
      <c r="E19" s="29"/>
      <c r="F19" s="19"/>
      <c r="H19" s="20" t="s">
        <v>329</v>
      </c>
    </row>
    <row r="20" customFormat="false" ht="15" hidden="false" customHeight="true" outlineLevel="0" collapsed="false">
      <c r="A20" s="15" t="s">
        <v>199</v>
      </c>
      <c r="B20" s="36" t="n">
        <v>28.4</v>
      </c>
      <c r="C20" s="36" t="n">
        <v>178.89</v>
      </c>
      <c r="D20" s="33" t="n">
        <f aca="false">B20/C20</f>
        <v>0.158756777908212</v>
      </c>
      <c r="E20" s="29" t="n">
        <v>0.2552</v>
      </c>
      <c r="F20" s="19"/>
      <c r="H20" s="20"/>
    </row>
    <row r="21" customFormat="false" ht="15" hidden="false" customHeight="true" outlineLevel="0" collapsed="false">
      <c r="A21" s="15" t="s">
        <v>185</v>
      </c>
      <c r="B21" s="36" t="n">
        <v>53.26</v>
      </c>
      <c r="C21" s="36" t="n">
        <v>276.92</v>
      </c>
      <c r="D21" s="33" t="n">
        <f aca="false">B21/C21</f>
        <v>0.192329914776831</v>
      </c>
      <c r="E21" s="29" t="n">
        <v>0.2396</v>
      </c>
      <c r="F21" s="19"/>
      <c r="H21" s="20" t="s">
        <v>330</v>
      </c>
    </row>
    <row r="22" customFormat="false" ht="15" hidden="false" customHeight="true" outlineLevel="0" collapsed="false">
      <c r="A22" s="42" t="s">
        <v>315</v>
      </c>
      <c r="B22" s="44"/>
      <c r="C22" s="44"/>
      <c r="D22" s="52" t="n">
        <v>0.5</v>
      </c>
      <c r="E22" s="44"/>
      <c r="F22" s="19" t="s">
        <v>95</v>
      </c>
      <c r="H22" s="20" t="s">
        <v>331</v>
      </c>
    </row>
    <row r="25" customFormat="false" ht="15" hidden="false" customHeight="true" outlineLevel="0" collapsed="false">
      <c r="A25" s="4" t="s">
        <v>332</v>
      </c>
      <c r="B25" s="4"/>
      <c r="C25" s="4"/>
      <c r="D25" s="4"/>
      <c r="E25" s="4"/>
      <c r="F25" s="4"/>
      <c r="G25" s="4"/>
      <c r="H25" s="4"/>
    </row>
    <row r="26" customFormat="false" ht="30" hidden="false" customHeight="true" outlineLevel="0" collapsed="false">
      <c r="A26" s="5" t="s">
        <v>333</v>
      </c>
      <c r="B26" s="5" t="s">
        <v>100</v>
      </c>
      <c r="C26" s="5" t="s">
        <v>334</v>
      </c>
      <c r="D26" s="5" t="s">
        <v>102</v>
      </c>
      <c r="E26" s="5"/>
      <c r="F26" s="5"/>
      <c r="G26" s="5"/>
      <c r="H26" s="5" t="s">
        <v>64</v>
      </c>
    </row>
    <row r="27" customFormat="false" ht="15" hidden="false" customHeight="true" outlineLevel="0" collapsed="false">
      <c r="A27" s="15" t="s">
        <v>335</v>
      </c>
      <c r="B27" s="36" t="n">
        <v>3</v>
      </c>
      <c r="C27" s="36" t="n">
        <v>153</v>
      </c>
      <c r="D27" s="15" t="s">
        <v>336</v>
      </c>
      <c r="H27" s="20" t="s">
        <v>337</v>
      </c>
    </row>
    <row r="28" customFormat="false" ht="15" hidden="false" customHeight="true" outlineLevel="0" collapsed="false">
      <c r="A28" s="15" t="s">
        <v>338</v>
      </c>
      <c r="B28" s="36" t="n">
        <v>153</v>
      </c>
      <c r="C28" s="36" t="n">
        <v>300</v>
      </c>
      <c r="D28" s="15" t="s">
        <v>336</v>
      </c>
      <c r="H28" s="20" t="s">
        <v>339</v>
      </c>
    </row>
    <row r="29" customFormat="false" ht="15" hidden="false" customHeight="true" outlineLevel="0" collapsed="false">
      <c r="A29" s="15" t="s">
        <v>340</v>
      </c>
      <c r="B29" s="36" t="n">
        <v>57.6</v>
      </c>
      <c r="C29" s="36" t="n">
        <v>49</v>
      </c>
      <c r="D29" s="15" t="s">
        <v>170</v>
      </c>
      <c r="H29" s="20" t="s">
        <v>341</v>
      </c>
    </row>
    <row r="30" customFormat="false" ht="15" hidden="false" customHeight="true" outlineLevel="0" collapsed="false">
      <c r="A30" s="15" t="s">
        <v>342</v>
      </c>
      <c r="B30" s="36" t="n">
        <v>25.3</v>
      </c>
      <c r="C30" s="36" t="n">
        <v>35.1</v>
      </c>
      <c r="D30" s="15" t="s">
        <v>170</v>
      </c>
      <c r="H30" s="20" t="s">
        <v>343</v>
      </c>
    </row>
    <row r="31" customFormat="false" ht="15" hidden="false" customHeight="true" outlineLevel="0" collapsed="false">
      <c r="A31" s="15" t="s">
        <v>344</v>
      </c>
      <c r="B31" s="44"/>
      <c r="C31" s="29" t="n">
        <v>0.42</v>
      </c>
      <c r="D31" s="15" t="s">
        <v>108</v>
      </c>
      <c r="H31" s="20" t="s">
        <v>345</v>
      </c>
    </row>
    <row r="34" customFormat="false" ht="15" hidden="false" customHeight="true" outlineLevel="0" collapsed="false">
      <c r="A34" s="4" t="s">
        <v>346</v>
      </c>
      <c r="B34" s="4"/>
      <c r="C34" s="4"/>
      <c r="D34" s="4"/>
      <c r="E34" s="4"/>
      <c r="F34" s="4"/>
      <c r="G34" s="4"/>
      <c r="H34" s="4"/>
    </row>
    <row r="35" customFormat="false" ht="30" hidden="false" customHeight="true" outlineLevel="0" collapsed="false">
      <c r="A35" s="5" t="s">
        <v>347</v>
      </c>
      <c r="B35" s="5" t="s">
        <v>348</v>
      </c>
      <c r="C35" s="5" t="s">
        <v>349</v>
      </c>
      <c r="D35" s="5" t="s">
        <v>350</v>
      </c>
      <c r="E35" s="5"/>
      <c r="F35" s="5"/>
      <c r="G35" s="5"/>
      <c r="H35" s="5" t="s">
        <v>351</v>
      </c>
    </row>
    <row r="36" customFormat="false" ht="15" hidden="false" customHeight="true" outlineLevel="0" collapsed="false">
      <c r="A36" s="15" t="s">
        <v>352</v>
      </c>
      <c r="B36" s="15" t="s">
        <v>353</v>
      </c>
      <c r="C36" s="36" t="n">
        <v>4.1</v>
      </c>
      <c r="D36" s="29" t="n">
        <v>0.49</v>
      </c>
      <c r="H36" s="20" t="s">
        <v>354</v>
      </c>
    </row>
    <row r="37" customFormat="false" ht="15" hidden="false" customHeight="true" outlineLevel="0" collapsed="false">
      <c r="A37" s="15" t="s">
        <v>355</v>
      </c>
      <c r="B37" s="15" t="s">
        <v>356</v>
      </c>
      <c r="C37" s="36" t="n">
        <v>6.8</v>
      </c>
      <c r="D37" s="29" t="n">
        <v>0.381</v>
      </c>
      <c r="H37" s="20" t="s">
        <v>357</v>
      </c>
    </row>
    <row r="38" customFormat="false" ht="15" hidden="false" customHeight="true" outlineLevel="0" collapsed="false">
      <c r="A38" s="15" t="s">
        <v>358</v>
      </c>
      <c r="B38" s="15" t="s">
        <v>359</v>
      </c>
      <c r="C38" s="36" t="n">
        <v>5</v>
      </c>
      <c r="D38" s="44"/>
      <c r="H38" s="20" t="s">
        <v>360</v>
      </c>
    </row>
    <row r="39" customFormat="false" ht="15" hidden="false" customHeight="true" outlineLevel="0" collapsed="false">
      <c r="A39" s="25" t="s">
        <v>361</v>
      </c>
      <c r="C39" s="54" t="n">
        <f aca="false">SUM(C36:C38)</f>
        <v>15.9</v>
      </c>
      <c r="D39" s="27" t="s">
        <v>362</v>
      </c>
      <c r="H39" s="20" t="s">
        <v>363</v>
      </c>
    </row>
    <row r="40" customFormat="false" ht="15" hidden="false" customHeight="true" outlineLevel="0" collapsed="false">
      <c r="A40" s="30" t="s">
        <v>364</v>
      </c>
      <c r="B40" s="30"/>
      <c r="C40" s="30"/>
      <c r="D40" s="30"/>
      <c r="E40" s="30"/>
      <c r="F40" s="30"/>
      <c r="G40" s="30"/>
      <c r="H40" s="30"/>
    </row>
    <row r="45" customFormat="false" ht="15" hidden="false" customHeight="false" outlineLevel="0" collapsed="false">
      <c r="K45" s="13" t="s">
        <v>57</v>
      </c>
    </row>
    <row r="46" customFormat="false" ht="22.35" hidden="false" customHeight="false" outlineLevel="0" collapsed="false">
      <c r="K46" s="14" t="s">
        <v>112</v>
      </c>
      <c r="L46" s="14" t="s">
        <v>365</v>
      </c>
    </row>
    <row r="47" customFormat="false" ht="15" hidden="false" customHeight="false" outlineLevel="0" collapsed="false">
      <c r="K47" s="21" t="s">
        <v>366</v>
      </c>
      <c r="L47" s="22" t="n">
        <v>3</v>
      </c>
    </row>
    <row r="48" customFormat="false" ht="15" hidden="false" customHeight="false" outlineLevel="0" collapsed="false">
      <c r="K48" s="21" t="s">
        <v>312</v>
      </c>
      <c r="L48" s="22" t="n">
        <v>136</v>
      </c>
    </row>
    <row r="49" customFormat="false" ht="15" hidden="false" customHeight="false" outlineLevel="0" collapsed="false">
      <c r="K49" s="21" t="s">
        <v>358</v>
      </c>
      <c r="L49" s="22" t="n">
        <v>153</v>
      </c>
    </row>
    <row r="50" customFormat="false" ht="15" hidden="false" customHeight="false" outlineLevel="0" collapsed="false">
      <c r="K50" s="21" t="s">
        <v>367</v>
      </c>
      <c r="L50" s="22" t="n">
        <v>300</v>
      </c>
    </row>
  </sheetData>
  <mergeCells count="8">
    <mergeCell ref="A1:H1"/>
    <mergeCell ref="A2:H2"/>
    <mergeCell ref="A4:H4"/>
    <mergeCell ref="A10:H10"/>
    <mergeCell ref="A17:H17"/>
    <mergeCell ref="A25:H25"/>
    <mergeCell ref="A34:H34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  <col collapsed="false" customWidth="true" hidden="false" outlineLevel="0" max="7" min="6" style="1" width="12"/>
    <col collapsed="false" customWidth="true" hidden="false" outlineLevel="0" max="8" min="8" style="1" width="42"/>
    <col collapsed="false" customWidth="true" hidden="false" outlineLevel="0" max="14" min="11" style="0" width="16"/>
    <col collapsed="false" customWidth="true" hidden="false" outlineLevel="0" max="18" min="17" style="0" width="16"/>
  </cols>
  <sheetData>
    <row r="1" customFormat="false" ht="25.5" hidden="false" customHeight="true" outlineLevel="0" collapsed="false">
      <c r="A1" s="2" t="s">
        <v>368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369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370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K5" s="13" t="s">
        <v>57</v>
      </c>
      <c r="Q5" s="13" t="s">
        <v>57</v>
      </c>
    </row>
    <row r="6" customFormat="false" ht="30" hidden="false" customHeight="true" outlineLevel="0" collapsed="false">
      <c r="A6" s="5" t="s">
        <v>112</v>
      </c>
      <c r="B6" s="5" t="s">
        <v>371</v>
      </c>
      <c r="C6" s="5" t="s">
        <v>372</v>
      </c>
      <c r="D6" s="5" t="s">
        <v>373</v>
      </c>
      <c r="E6" s="5" t="s">
        <v>374</v>
      </c>
      <c r="F6" s="5" t="s">
        <v>215</v>
      </c>
      <c r="G6" s="5" t="s">
        <v>375</v>
      </c>
      <c r="H6" s="5" t="s">
        <v>64</v>
      </c>
      <c r="K6" s="14" t="s">
        <v>306</v>
      </c>
      <c r="L6" s="14" t="s">
        <v>376</v>
      </c>
      <c r="M6" s="14" t="s">
        <v>377</v>
      </c>
      <c r="N6" s="14" t="s">
        <v>378</v>
      </c>
      <c r="Q6" s="14" t="s">
        <v>379</v>
      </c>
      <c r="R6" s="14" t="s">
        <v>377</v>
      </c>
    </row>
    <row r="7" customFormat="false" ht="15" hidden="false" customHeight="true" outlineLevel="0" collapsed="false">
      <c r="A7" s="15" t="s">
        <v>180</v>
      </c>
      <c r="B7" s="36" t="n">
        <v>400.92</v>
      </c>
      <c r="C7" s="36" t="n">
        <v>44.12</v>
      </c>
      <c r="D7" s="44"/>
      <c r="E7" s="44"/>
      <c r="F7" s="44"/>
      <c r="G7" s="18" t="n">
        <f aca="false">C7/B7</f>
        <v>0.110046892148059</v>
      </c>
      <c r="H7" s="20"/>
      <c r="K7" s="21" t="s">
        <v>180</v>
      </c>
      <c r="L7" s="22" t="n">
        <v>400.92</v>
      </c>
      <c r="M7" s="22" t="n">
        <v>44.12</v>
      </c>
      <c r="N7" s="23" t="n">
        <v>0.11</v>
      </c>
      <c r="Q7" s="21" t="s">
        <v>380</v>
      </c>
      <c r="R7" s="45" t="n">
        <v>13.96</v>
      </c>
    </row>
    <row r="8" customFormat="false" ht="15" hidden="false" customHeight="true" outlineLevel="0" collapsed="false">
      <c r="A8" s="15" t="s">
        <v>182</v>
      </c>
      <c r="B8" s="36" t="n">
        <v>362.01</v>
      </c>
      <c r="C8" s="36" t="n">
        <v>50.75</v>
      </c>
      <c r="D8" s="36" t="n">
        <v>96.98</v>
      </c>
      <c r="E8" s="16" t="n">
        <v>475</v>
      </c>
      <c r="F8" s="29" t="n">
        <v>0.2442</v>
      </c>
      <c r="G8" s="18" t="n">
        <f aca="false">C8/B8</f>
        <v>0.140189497527693</v>
      </c>
      <c r="H8" s="20" t="s">
        <v>381</v>
      </c>
      <c r="K8" s="21" t="s">
        <v>182</v>
      </c>
      <c r="L8" s="22" t="n">
        <v>362.01</v>
      </c>
      <c r="M8" s="22" t="n">
        <v>50.75</v>
      </c>
      <c r="N8" s="23" t="n">
        <v>0.14</v>
      </c>
      <c r="Q8" s="21" t="s">
        <v>382</v>
      </c>
      <c r="R8" s="45" t="n">
        <v>16.53</v>
      </c>
    </row>
    <row r="9" customFormat="false" ht="15" hidden="false" customHeight="true" outlineLevel="0" collapsed="false">
      <c r="A9" s="15" t="s">
        <v>183</v>
      </c>
      <c r="B9" s="36" t="n">
        <v>423.7</v>
      </c>
      <c r="C9" s="36" t="n">
        <v>72.2</v>
      </c>
      <c r="D9" s="36" t="n">
        <v>133.2</v>
      </c>
      <c r="E9" s="16" t="n">
        <v>661</v>
      </c>
      <c r="F9" s="29" t="n">
        <v>0.25</v>
      </c>
      <c r="G9" s="18" t="n">
        <f aca="false">C9/B9</f>
        <v>0.170403587443946</v>
      </c>
      <c r="H9" s="20" t="s">
        <v>383</v>
      </c>
      <c r="K9" s="21" t="s">
        <v>183</v>
      </c>
      <c r="L9" s="22" t="n">
        <v>423.7</v>
      </c>
      <c r="M9" s="22" t="n">
        <v>72.2</v>
      </c>
      <c r="N9" s="23" t="n">
        <v>0.17</v>
      </c>
      <c r="Q9" s="21" t="s">
        <v>384</v>
      </c>
      <c r="R9" s="45" t="n">
        <v>18.54</v>
      </c>
    </row>
    <row r="10" customFormat="false" ht="15" hidden="false" customHeight="true" outlineLevel="0" collapsed="false">
      <c r="A10" s="15" t="s">
        <v>199</v>
      </c>
      <c r="B10" s="36" t="n">
        <v>178.89</v>
      </c>
      <c r="C10" s="36" t="n">
        <v>30.49</v>
      </c>
      <c r="D10" s="36" t="n">
        <v>58.7</v>
      </c>
      <c r="E10" s="44"/>
      <c r="F10" s="29" t="n">
        <v>0.2502</v>
      </c>
      <c r="G10" s="18" t="n">
        <f aca="false">C10/B10</f>
        <v>0.170439935155682</v>
      </c>
      <c r="H10" s="20"/>
      <c r="Q10" s="21" t="s">
        <v>385</v>
      </c>
      <c r="R10" s="45" t="n">
        <v>23.17</v>
      </c>
    </row>
    <row r="11" customFormat="false" ht="15" hidden="false" customHeight="true" outlineLevel="0" collapsed="false">
      <c r="A11" s="31" t="s">
        <v>185</v>
      </c>
      <c r="B11" s="32" t="n">
        <v>276.92</v>
      </c>
      <c r="C11" s="32" t="n">
        <v>43.28</v>
      </c>
      <c r="D11" s="32" t="n">
        <v>60.22</v>
      </c>
      <c r="E11" s="55"/>
      <c r="F11" s="52" t="n">
        <v>0.2393</v>
      </c>
      <c r="G11" s="33" t="n">
        <f aca="false">C11/B11</f>
        <v>0.156290625451394</v>
      </c>
      <c r="H11" s="20" t="s">
        <v>386</v>
      </c>
      <c r="Q11" s="21" t="s">
        <v>387</v>
      </c>
      <c r="R11" s="45" t="n">
        <v>20.74</v>
      </c>
    </row>
    <row r="12" customFormat="false" ht="15" hidden="false" customHeight="true" outlineLevel="0" collapsed="false">
      <c r="A12" s="30" t="s">
        <v>388</v>
      </c>
      <c r="B12" s="30"/>
      <c r="C12" s="30"/>
      <c r="D12" s="30"/>
      <c r="E12" s="30"/>
      <c r="F12" s="30"/>
      <c r="G12" s="30"/>
      <c r="H12" s="30"/>
      <c r="Q12" s="21" t="s">
        <v>389</v>
      </c>
      <c r="R12" s="45" t="n">
        <v>22.55</v>
      </c>
    </row>
    <row r="14" customFormat="false" ht="15" hidden="false" customHeight="true" outlineLevel="0" collapsed="false">
      <c r="A14" s="4" t="s">
        <v>390</v>
      </c>
      <c r="B14" s="4"/>
      <c r="C14" s="4"/>
      <c r="D14" s="4"/>
      <c r="E14" s="4"/>
      <c r="F14" s="4"/>
      <c r="G14" s="4"/>
      <c r="H14" s="4"/>
    </row>
    <row r="15" customFormat="false" ht="30" hidden="false" customHeight="true" outlineLevel="0" collapsed="false">
      <c r="A15" s="5" t="s">
        <v>112</v>
      </c>
      <c r="B15" s="5" t="s">
        <v>391</v>
      </c>
      <c r="C15" s="5" t="s">
        <v>372</v>
      </c>
      <c r="D15" s="5" t="s">
        <v>392</v>
      </c>
      <c r="E15" s="5" t="s">
        <v>393</v>
      </c>
      <c r="F15" s="5"/>
      <c r="G15" s="5"/>
      <c r="H15" s="5" t="s">
        <v>64</v>
      </c>
    </row>
    <row r="16" customFormat="false" ht="15" hidden="false" customHeight="true" outlineLevel="0" collapsed="false">
      <c r="A16" s="15" t="s">
        <v>182</v>
      </c>
      <c r="B16" s="36" t="n">
        <v>25.37</v>
      </c>
      <c r="C16" s="36" t="n">
        <v>50.75</v>
      </c>
      <c r="D16" s="18" t="n">
        <f aca="false">B16/C16</f>
        <v>0.499901477832512</v>
      </c>
      <c r="E16" s="56" t="n">
        <v>45.53</v>
      </c>
      <c r="H16" s="20" t="s">
        <v>394</v>
      </c>
    </row>
    <row r="17" customFormat="false" ht="15" hidden="false" customHeight="true" outlineLevel="0" collapsed="false">
      <c r="A17" s="15" t="s">
        <v>183</v>
      </c>
      <c r="B17" s="36" t="n">
        <v>31.53</v>
      </c>
      <c r="C17" s="36" t="n">
        <v>72.2</v>
      </c>
      <c r="D17" s="18" t="n">
        <f aca="false">B17/C17</f>
        <v>0.436703601108033</v>
      </c>
      <c r="E17" s="56" t="n">
        <v>69.57</v>
      </c>
      <c r="H17" s="20" t="s">
        <v>395</v>
      </c>
    </row>
    <row r="18" customFormat="false" ht="15" hidden="false" customHeight="true" outlineLevel="0" collapsed="false">
      <c r="A18" s="15" t="s">
        <v>396</v>
      </c>
      <c r="B18" s="36" t="n">
        <v>6.49</v>
      </c>
      <c r="C18" s="36" t="n">
        <v>43.28</v>
      </c>
      <c r="D18" s="18" t="n">
        <f aca="false">B18/C18</f>
        <v>0.149953789279113</v>
      </c>
      <c r="E18" s="56" t="n">
        <v>14.11</v>
      </c>
      <c r="H18" s="20" t="s">
        <v>397</v>
      </c>
    </row>
    <row r="21" customFormat="false" ht="15" hidden="false" customHeight="true" outlineLevel="0" collapsed="false">
      <c r="A21" s="4" t="s">
        <v>398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99</v>
      </c>
      <c r="B22" s="5" t="s">
        <v>111</v>
      </c>
      <c r="C22" s="5" t="s">
        <v>102</v>
      </c>
      <c r="D22" s="5" t="s">
        <v>399</v>
      </c>
      <c r="E22" s="5"/>
      <c r="F22" s="5"/>
      <c r="G22" s="5"/>
      <c r="H22" s="5" t="s">
        <v>64</v>
      </c>
    </row>
    <row r="23" customFormat="false" ht="15" hidden="false" customHeight="true" outlineLevel="0" collapsed="false">
      <c r="A23" s="15" t="s">
        <v>400</v>
      </c>
      <c r="B23" s="32" t="n">
        <v>372.05</v>
      </c>
      <c r="C23" s="15" t="s">
        <v>362</v>
      </c>
      <c r="D23" s="15" t="s">
        <v>401</v>
      </c>
      <c r="H23" s="20" t="s">
        <v>402</v>
      </c>
    </row>
    <row r="24" customFormat="false" ht="15" hidden="false" customHeight="true" outlineLevel="0" collapsed="false">
      <c r="A24" s="15" t="s">
        <v>403</v>
      </c>
      <c r="B24" s="32" t="n">
        <v>40</v>
      </c>
      <c r="C24" s="15" t="s">
        <v>362</v>
      </c>
      <c r="D24" s="15" t="s">
        <v>404</v>
      </c>
      <c r="H24" s="20" t="s">
        <v>405</v>
      </c>
    </row>
    <row r="25" customFormat="false" ht="15" hidden="false" customHeight="true" outlineLevel="0" collapsed="false">
      <c r="A25" s="15" t="s">
        <v>406</v>
      </c>
      <c r="B25" s="32" t="n">
        <v>1138.88</v>
      </c>
      <c r="C25" s="15" t="s">
        <v>362</v>
      </c>
      <c r="D25" s="15" t="s">
        <v>401</v>
      </c>
      <c r="H25" s="20" t="s">
        <v>407</v>
      </c>
    </row>
    <row r="26" customFormat="false" ht="15" hidden="false" customHeight="true" outlineLevel="0" collapsed="false">
      <c r="A26" s="15" t="s">
        <v>408</v>
      </c>
      <c r="B26" s="52" t="n">
        <v>0.6365</v>
      </c>
      <c r="C26" s="15" t="s">
        <v>108</v>
      </c>
      <c r="D26" s="15" t="s">
        <v>401</v>
      </c>
      <c r="H26" s="20" t="s">
        <v>409</v>
      </c>
    </row>
    <row r="27" customFormat="false" ht="15" hidden="false" customHeight="true" outlineLevel="0" collapsed="false">
      <c r="A27" s="15" t="s">
        <v>410</v>
      </c>
      <c r="B27" s="52" t="n">
        <v>0.1208</v>
      </c>
      <c r="C27" s="15" t="s">
        <v>108</v>
      </c>
      <c r="D27" s="15" t="s">
        <v>185</v>
      </c>
      <c r="H27" s="20" t="s">
        <v>411</v>
      </c>
    </row>
    <row r="28" customFormat="false" ht="15" hidden="false" customHeight="true" outlineLevel="0" collapsed="false">
      <c r="A28" s="15" t="s">
        <v>276</v>
      </c>
      <c r="B28" s="32" t="n">
        <v>22.1</v>
      </c>
      <c r="C28" s="15" t="s">
        <v>362</v>
      </c>
      <c r="D28" s="15" t="s">
        <v>183</v>
      </c>
      <c r="H28" s="20" t="s">
        <v>412</v>
      </c>
    </row>
    <row r="29" customFormat="false" ht="15" hidden="false" customHeight="true" outlineLevel="0" collapsed="false">
      <c r="A29" s="15" t="s">
        <v>272</v>
      </c>
      <c r="B29" s="52" t="n">
        <v>0.9486</v>
      </c>
      <c r="C29" s="15" t="s">
        <v>108</v>
      </c>
      <c r="D29" s="15" t="s">
        <v>185</v>
      </c>
      <c r="H29" s="20" t="s">
        <v>413</v>
      </c>
    </row>
    <row r="32" customFormat="false" ht="15" hidden="false" customHeight="true" outlineLevel="0" collapsed="false">
      <c r="A32" s="4" t="s">
        <v>414</v>
      </c>
      <c r="B32" s="4"/>
      <c r="C32" s="4"/>
      <c r="D32" s="4"/>
      <c r="E32" s="4"/>
      <c r="F32" s="4"/>
      <c r="G32" s="4"/>
      <c r="H32" s="4"/>
    </row>
    <row r="33" customFormat="false" ht="30" hidden="false" customHeight="true" outlineLevel="0" collapsed="false">
      <c r="A33" s="5" t="s">
        <v>379</v>
      </c>
      <c r="B33" s="5" t="s">
        <v>371</v>
      </c>
      <c r="C33" s="5" t="s">
        <v>372</v>
      </c>
      <c r="D33" s="5" t="s">
        <v>415</v>
      </c>
      <c r="E33" s="5"/>
      <c r="F33" s="5"/>
      <c r="G33" s="5"/>
      <c r="H33" s="5" t="s">
        <v>64</v>
      </c>
    </row>
    <row r="34" customFormat="false" ht="15" hidden="false" customHeight="true" outlineLevel="0" collapsed="false">
      <c r="A34" s="15" t="s">
        <v>416</v>
      </c>
      <c r="B34" s="36" t="n">
        <v>84.7</v>
      </c>
      <c r="C34" s="36" t="n">
        <v>13.96</v>
      </c>
      <c r="D34" s="44"/>
      <c r="H34" s="20"/>
    </row>
    <row r="35" customFormat="false" ht="15" hidden="false" customHeight="true" outlineLevel="0" collapsed="false">
      <c r="A35" s="15" t="s">
        <v>417</v>
      </c>
      <c r="B35" s="36" t="n">
        <v>94.19</v>
      </c>
      <c r="C35" s="36" t="n">
        <v>16.53</v>
      </c>
      <c r="D35" s="44"/>
      <c r="H35" s="20"/>
    </row>
    <row r="36" customFormat="false" ht="15" hidden="false" customHeight="true" outlineLevel="0" collapsed="false">
      <c r="A36" s="15" t="s">
        <v>418</v>
      </c>
      <c r="B36" s="36" t="n">
        <v>104.18</v>
      </c>
      <c r="C36" s="36" t="n">
        <v>18.54</v>
      </c>
      <c r="D36" s="44"/>
      <c r="H36" s="20" t="s">
        <v>419</v>
      </c>
    </row>
    <row r="37" customFormat="false" ht="15" hidden="false" customHeight="true" outlineLevel="0" collapsed="false">
      <c r="A37" s="15" t="s">
        <v>420</v>
      </c>
      <c r="B37" s="36" t="n">
        <v>140.63</v>
      </c>
      <c r="C37" s="36" t="n">
        <v>23.17</v>
      </c>
      <c r="D37" s="44"/>
      <c r="H37" s="20"/>
    </row>
    <row r="38" customFormat="false" ht="15" hidden="false" customHeight="true" outlineLevel="0" collapsed="false">
      <c r="A38" s="15" t="s">
        <v>421</v>
      </c>
      <c r="B38" s="36" t="n">
        <v>129.13</v>
      </c>
      <c r="C38" s="36" t="n">
        <v>20.74</v>
      </c>
      <c r="D38" s="29" t="n">
        <v>0.4852</v>
      </c>
      <c r="H38" s="20"/>
    </row>
    <row r="39" customFormat="false" ht="15" hidden="false" customHeight="true" outlineLevel="0" collapsed="false">
      <c r="A39" s="15" t="s">
        <v>422</v>
      </c>
      <c r="B39" s="36" t="n">
        <v>147.79</v>
      </c>
      <c r="C39" s="36" t="n">
        <v>22.55</v>
      </c>
      <c r="D39" s="29" t="n">
        <v>0.3642</v>
      </c>
      <c r="H39" s="20" t="s">
        <v>423</v>
      </c>
    </row>
    <row r="41" customFormat="false" ht="15" hidden="false" customHeight="true" outlineLevel="0" collapsed="false">
      <c r="A41" s="30" t="s">
        <v>424</v>
      </c>
      <c r="B41" s="30"/>
      <c r="C41" s="30"/>
      <c r="D41" s="30"/>
      <c r="E41" s="30"/>
      <c r="F41" s="30"/>
      <c r="G41" s="30"/>
      <c r="H41" s="30"/>
    </row>
    <row r="45" customFormat="false" ht="15" hidden="false" customHeight="false" outlineLevel="0" collapsed="false">
      <c r="K45" s="13" t="s">
        <v>57</v>
      </c>
    </row>
    <row r="46" customFormat="false" ht="15" hidden="false" customHeight="false" outlineLevel="0" collapsed="false">
      <c r="K46" s="14" t="s">
        <v>306</v>
      </c>
      <c r="L46" s="14" t="s">
        <v>425</v>
      </c>
    </row>
    <row r="47" customFormat="false" ht="15" hidden="false" customHeight="false" outlineLevel="0" collapsed="false">
      <c r="K47" s="21" t="s">
        <v>182</v>
      </c>
      <c r="L47" s="45" t="n">
        <v>25.37</v>
      </c>
    </row>
    <row r="48" customFormat="false" ht="15" hidden="false" customHeight="false" outlineLevel="0" collapsed="false">
      <c r="K48" s="21" t="s">
        <v>183</v>
      </c>
      <c r="L48" s="45" t="n">
        <v>31.53</v>
      </c>
    </row>
  </sheetData>
  <mergeCells count="8">
    <mergeCell ref="A1:H1"/>
    <mergeCell ref="A2:H2"/>
    <mergeCell ref="A4:H4"/>
    <mergeCell ref="A12:H12"/>
    <mergeCell ref="A14:H14"/>
    <mergeCell ref="A21:H21"/>
    <mergeCell ref="A32:H32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46"/>
  </cols>
  <sheetData>
    <row r="1" customFormat="false" ht="25.5" hidden="false" customHeight="true" outlineLevel="0" collapsed="false">
      <c r="A1" s="2" t="s">
        <v>426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427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428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99</v>
      </c>
      <c r="B5" s="5" t="s">
        <v>429</v>
      </c>
      <c r="C5" s="5" t="s">
        <v>430</v>
      </c>
      <c r="D5" s="5" t="s">
        <v>64</v>
      </c>
      <c r="E5" s="5"/>
      <c r="F5" s="5"/>
      <c r="G5" s="5"/>
      <c r="H5" s="5"/>
    </row>
    <row r="6" customFormat="false" ht="15" hidden="false" customHeight="true" outlineLevel="0" collapsed="false">
      <c r="A6" s="42" t="s">
        <v>431</v>
      </c>
      <c r="B6" s="57" t="s">
        <v>432</v>
      </c>
      <c r="C6" s="57" t="s">
        <v>433</v>
      </c>
      <c r="D6" s="58" t="s">
        <v>434</v>
      </c>
    </row>
    <row r="7" customFormat="false" ht="15" hidden="false" customHeight="true" outlineLevel="0" collapsed="false">
      <c r="A7" s="42" t="s">
        <v>435</v>
      </c>
      <c r="B7" s="57" t="s">
        <v>436</v>
      </c>
      <c r="C7" s="57"/>
      <c r="D7" s="58" t="s">
        <v>437</v>
      </c>
    </row>
    <row r="8" customFormat="false" ht="15" hidden="false" customHeight="true" outlineLevel="0" collapsed="false">
      <c r="A8" s="42" t="s">
        <v>438</v>
      </c>
      <c r="B8" s="57" t="s">
        <v>439</v>
      </c>
      <c r="C8" s="57" t="s">
        <v>440</v>
      </c>
      <c r="D8" s="58" t="s">
        <v>441</v>
      </c>
    </row>
    <row r="9" customFormat="false" ht="15" hidden="false" customHeight="true" outlineLevel="0" collapsed="false">
      <c r="A9" s="42" t="s">
        <v>442</v>
      </c>
      <c r="B9" s="57" t="s">
        <v>443</v>
      </c>
      <c r="C9" s="57" t="s">
        <v>444</v>
      </c>
      <c r="D9" s="58" t="s">
        <v>445</v>
      </c>
    </row>
    <row r="10" customFormat="false" ht="15" hidden="false" customHeight="true" outlineLevel="0" collapsed="false">
      <c r="A10" s="42" t="s">
        <v>446</v>
      </c>
      <c r="B10" s="57" t="s">
        <v>447</v>
      </c>
      <c r="C10" s="57"/>
      <c r="D10" s="58" t="s">
        <v>448</v>
      </c>
    </row>
    <row r="11" customFormat="false" ht="15" hidden="false" customHeight="true" outlineLevel="0" collapsed="false">
      <c r="A11" s="42" t="s">
        <v>449</v>
      </c>
      <c r="B11" s="57"/>
      <c r="C11" s="57" t="s">
        <v>450</v>
      </c>
      <c r="D11" s="58"/>
    </row>
    <row r="12" customFormat="false" ht="15" hidden="false" customHeight="true" outlineLevel="0" collapsed="false">
      <c r="A12" s="42" t="s">
        <v>451</v>
      </c>
      <c r="B12" s="57"/>
      <c r="C12" s="57" t="s">
        <v>452</v>
      </c>
      <c r="D12" s="58" t="s">
        <v>453</v>
      </c>
    </row>
    <row r="13" customFormat="false" ht="15" hidden="false" customHeight="true" outlineLevel="0" collapsed="false">
      <c r="A13" s="42" t="s">
        <v>454</v>
      </c>
      <c r="B13" s="57" t="s">
        <v>455</v>
      </c>
      <c r="C13" s="57"/>
      <c r="D13" s="58" t="s">
        <v>456</v>
      </c>
    </row>
    <row r="14" customFormat="false" ht="15" hidden="false" customHeight="true" outlineLevel="0" collapsed="false">
      <c r="A14" s="42" t="s">
        <v>457</v>
      </c>
      <c r="B14" s="57" t="s">
        <v>458</v>
      </c>
      <c r="C14" s="57" t="s">
        <v>459</v>
      </c>
      <c r="D14" s="58" t="s">
        <v>460</v>
      </c>
    </row>
    <row r="16" customFormat="false" ht="15" hidden="false" customHeight="true" outlineLevel="0" collapsed="false">
      <c r="A16" s="30" t="s">
        <v>461</v>
      </c>
      <c r="B16" s="30"/>
      <c r="C16" s="30"/>
      <c r="D16" s="30"/>
      <c r="E16" s="30"/>
      <c r="F16" s="30"/>
      <c r="G16" s="30"/>
      <c r="H16" s="30"/>
    </row>
    <row r="18" customFormat="false" ht="15" hidden="false" customHeight="true" outlineLevel="0" collapsed="false">
      <c r="A18" s="4" t="s">
        <v>462</v>
      </c>
      <c r="B18" s="4"/>
      <c r="C18" s="4"/>
      <c r="D18" s="4"/>
      <c r="E18" s="4"/>
      <c r="F18" s="4"/>
      <c r="G18" s="4"/>
      <c r="H18" s="4"/>
    </row>
    <row r="19" customFormat="false" ht="30" hidden="false" customHeight="true" outlineLevel="0" collapsed="false">
      <c r="A19" s="5" t="s">
        <v>463</v>
      </c>
      <c r="B19" s="5" t="s">
        <v>464</v>
      </c>
      <c r="C19" s="5"/>
      <c r="D19" s="5"/>
      <c r="E19" s="5"/>
      <c r="F19" s="5"/>
      <c r="G19" s="5"/>
      <c r="H19" s="5" t="s">
        <v>465</v>
      </c>
    </row>
    <row r="20" customFormat="false" ht="57.75" hidden="false" customHeight="true" outlineLevel="0" collapsed="false">
      <c r="A20" s="6" t="s">
        <v>466</v>
      </c>
      <c r="B20" s="7" t="s">
        <v>467</v>
      </c>
      <c r="C20" s="7"/>
      <c r="D20" s="7"/>
      <c r="E20" s="7"/>
      <c r="F20" s="7"/>
      <c r="G20" s="7"/>
      <c r="H20" s="58" t="s">
        <v>468</v>
      </c>
    </row>
    <row r="21" customFormat="false" ht="57.75" hidden="false" customHeight="true" outlineLevel="0" collapsed="false">
      <c r="A21" s="6" t="s">
        <v>469</v>
      </c>
      <c r="B21" s="7" t="s">
        <v>470</v>
      </c>
      <c r="C21" s="7"/>
      <c r="D21" s="7"/>
      <c r="E21" s="7"/>
      <c r="F21" s="7"/>
      <c r="G21" s="7"/>
      <c r="H21" s="58" t="s">
        <v>471</v>
      </c>
    </row>
    <row r="22" customFormat="false" ht="57.75" hidden="false" customHeight="true" outlineLevel="0" collapsed="false">
      <c r="A22" s="6" t="s">
        <v>472</v>
      </c>
      <c r="B22" s="7" t="s">
        <v>473</v>
      </c>
      <c r="C22" s="7"/>
      <c r="D22" s="7"/>
      <c r="E22" s="7"/>
      <c r="F22" s="7"/>
      <c r="G22" s="7"/>
      <c r="H22" s="58" t="s">
        <v>474</v>
      </c>
    </row>
    <row r="23" customFormat="false" ht="57.75" hidden="false" customHeight="true" outlineLevel="0" collapsed="false">
      <c r="A23" s="6" t="s">
        <v>475</v>
      </c>
      <c r="B23" s="7" t="s">
        <v>476</v>
      </c>
      <c r="C23" s="7"/>
      <c r="D23" s="7"/>
      <c r="E23" s="7"/>
      <c r="F23" s="7"/>
      <c r="G23" s="7"/>
      <c r="H23" s="58" t="s">
        <v>477</v>
      </c>
    </row>
    <row r="24" customFormat="false" ht="57.75" hidden="false" customHeight="true" outlineLevel="0" collapsed="false">
      <c r="A24" s="6" t="s">
        <v>478</v>
      </c>
      <c r="B24" s="7" t="s">
        <v>479</v>
      </c>
      <c r="C24" s="7"/>
      <c r="D24" s="7"/>
      <c r="E24" s="7"/>
      <c r="F24" s="7"/>
      <c r="G24" s="7"/>
      <c r="H24" s="58" t="s">
        <v>480</v>
      </c>
    </row>
    <row r="27" customFormat="false" ht="15" hidden="false" customHeight="true" outlineLevel="0" collapsed="false">
      <c r="A27" s="4" t="s">
        <v>481</v>
      </c>
      <c r="B27" s="4"/>
      <c r="C27" s="4"/>
      <c r="D27" s="4"/>
      <c r="E27" s="4"/>
      <c r="F27" s="4"/>
      <c r="G27" s="4"/>
      <c r="H27" s="4"/>
    </row>
    <row r="28" customFormat="false" ht="25.5" hidden="false" customHeight="true" outlineLevel="0" collapsed="false">
      <c r="A28" s="10" t="s">
        <v>482</v>
      </c>
      <c r="B28" s="10"/>
      <c r="C28" s="10"/>
      <c r="D28" s="10"/>
      <c r="E28" s="10"/>
      <c r="F28" s="10"/>
      <c r="G28" s="10"/>
      <c r="H28" s="10"/>
    </row>
    <row r="29" customFormat="false" ht="25.5" hidden="false" customHeight="true" outlineLevel="0" collapsed="false">
      <c r="A29" s="10" t="s">
        <v>483</v>
      </c>
      <c r="B29" s="10"/>
      <c r="C29" s="10"/>
      <c r="D29" s="10"/>
      <c r="E29" s="10"/>
      <c r="F29" s="10"/>
      <c r="G29" s="10"/>
      <c r="H29" s="10"/>
    </row>
    <row r="30" customFormat="false" ht="25.5" hidden="false" customHeight="true" outlineLevel="0" collapsed="false">
      <c r="A30" s="10" t="s">
        <v>484</v>
      </c>
      <c r="B30" s="10"/>
      <c r="C30" s="10"/>
      <c r="D30" s="10"/>
      <c r="E30" s="10"/>
      <c r="F30" s="10"/>
      <c r="G30" s="10"/>
      <c r="H30" s="10"/>
    </row>
    <row r="31" customFormat="false" ht="25.5" hidden="false" customHeight="true" outlineLevel="0" collapsed="false">
      <c r="A31" s="10" t="s">
        <v>485</v>
      </c>
      <c r="B31" s="10"/>
      <c r="C31" s="10"/>
      <c r="D31" s="10"/>
      <c r="E31" s="10"/>
      <c r="F31" s="10"/>
      <c r="G31" s="10"/>
      <c r="H31" s="10"/>
    </row>
    <row r="32" customFormat="false" ht="25.5" hidden="false" customHeight="true" outlineLevel="0" collapsed="false">
      <c r="A32" s="10" t="s">
        <v>486</v>
      </c>
      <c r="B32" s="10"/>
      <c r="C32" s="10"/>
      <c r="D32" s="10"/>
      <c r="E32" s="10"/>
      <c r="F32" s="10"/>
      <c r="G32" s="10"/>
      <c r="H32" s="10"/>
    </row>
  </sheetData>
  <mergeCells count="16">
    <mergeCell ref="A1:H1"/>
    <mergeCell ref="A2:H2"/>
    <mergeCell ref="A4:H4"/>
    <mergeCell ref="A16:H16"/>
    <mergeCell ref="A18:H18"/>
    <mergeCell ref="B20:G20"/>
    <mergeCell ref="B21:G21"/>
    <mergeCell ref="B22:G22"/>
    <mergeCell ref="B23:G23"/>
    <mergeCell ref="B24:G24"/>
    <mergeCell ref="A27:H27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46"/>
    <col collapsed="false" customWidth="true" hidden="false" outlineLevel="0" max="4" min="4" style="1" width="60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487</v>
      </c>
      <c r="B1" s="2"/>
      <c r="C1" s="2"/>
      <c r="D1" s="2"/>
      <c r="E1" s="2"/>
    </row>
    <row r="2" customFormat="false" ht="15" hidden="false" customHeight="true" outlineLevel="0" collapsed="false">
      <c r="A2" s="3" t="s">
        <v>488</v>
      </c>
      <c r="B2" s="3"/>
      <c r="C2" s="3"/>
      <c r="D2" s="3"/>
      <c r="E2" s="3"/>
    </row>
    <row r="4" customFormat="false" ht="30" hidden="false" customHeight="true" outlineLevel="0" collapsed="false">
      <c r="A4" s="5" t="s">
        <v>7</v>
      </c>
      <c r="B4" s="5" t="s">
        <v>489</v>
      </c>
      <c r="C4" s="5" t="s">
        <v>490</v>
      </c>
      <c r="D4" s="5" t="s">
        <v>491</v>
      </c>
      <c r="E4" s="5" t="s">
        <v>347</v>
      </c>
    </row>
    <row r="5" customFormat="false" ht="15" hidden="false" customHeight="true" outlineLevel="0" collapsed="false">
      <c r="A5" s="42" t="s">
        <v>492</v>
      </c>
      <c r="B5" s="15" t="s">
        <v>493</v>
      </c>
      <c r="C5" s="15" t="s">
        <v>494</v>
      </c>
      <c r="D5" s="59" t="s">
        <v>495</v>
      </c>
      <c r="E5" s="15" t="s">
        <v>496</v>
      </c>
    </row>
    <row r="6" customFormat="false" ht="15" hidden="false" customHeight="true" outlineLevel="0" collapsed="false">
      <c r="A6" s="42" t="s">
        <v>492</v>
      </c>
      <c r="B6" s="15" t="s">
        <v>497</v>
      </c>
      <c r="C6" s="15" t="s">
        <v>494</v>
      </c>
      <c r="D6" s="59" t="s">
        <v>498</v>
      </c>
      <c r="E6" s="15" t="s">
        <v>122</v>
      </c>
    </row>
    <row r="7" customFormat="false" ht="15" hidden="false" customHeight="true" outlineLevel="0" collapsed="false">
      <c r="A7" s="42" t="s">
        <v>492</v>
      </c>
      <c r="B7" s="15" t="s">
        <v>499</v>
      </c>
      <c r="C7" s="15" t="s">
        <v>494</v>
      </c>
      <c r="D7" s="59" t="s">
        <v>500</v>
      </c>
      <c r="E7" s="15" t="s">
        <v>501</v>
      </c>
    </row>
    <row r="8" customFormat="false" ht="15" hidden="false" customHeight="true" outlineLevel="0" collapsed="false">
      <c r="A8" s="42" t="s">
        <v>492</v>
      </c>
      <c r="B8" s="15" t="s">
        <v>502</v>
      </c>
      <c r="C8" s="15" t="s">
        <v>494</v>
      </c>
      <c r="D8" s="59" t="s">
        <v>503</v>
      </c>
      <c r="E8" s="15" t="s">
        <v>496</v>
      </c>
    </row>
    <row r="9" customFormat="false" ht="15" hidden="false" customHeight="true" outlineLevel="0" collapsed="false">
      <c r="A9" s="42" t="s">
        <v>492</v>
      </c>
      <c r="B9" s="15" t="s">
        <v>504</v>
      </c>
      <c r="C9" s="15" t="s">
        <v>494</v>
      </c>
      <c r="D9" s="59" t="s">
        <v>505</v>
      </c>
      <c r="E9" s="15" t="s">
        <v>506</v>
      </c>
    </row>
    <row r="10" customFormat="false" ht="15" hidden="false" customHeight="true" outlineLevel="0" collapsed="false">
      <c r="A10" s="42" t="s">
        <v>507</v>
      </c>
      <c r="B10" s="15" t="s">
        <v>508</v>
      </c>
      <c r="C10" s="15" t="s">
        <v>509</v>
      </c>
      <c r="D10" s="59" t="s">
        <v>510</v>
      </c>
      <c r="E10" s="15" t="s">
        <v>511</v>
      </c>
    </row>
    <row r="11" customFormat="false" ht="15" hidden="false" customHeight="true" outlineLevel="0" collapsed="false">
      <c r="A11" s="42" t="s">
        <v>507</v>
      </c>
      <c r="B11" s="15" t="s">
        <v>512</v>
      </c>
      <c r="C11" s="15" t="s">
        <v>513</v>
      </c>
      <c r="D11" s="59" t="s">
        <v>514</v>
      </c>
      <c r="E11" s="15" t="s">
        <v>515</v>
      </c>
    </row>
    <row r="12" customFormat="false" ht="15" hidden="false" customHeight="true" outlineLevel="0" collapsed="false">
      <c r="A12" s="42" t="s">
        <v>507</v>
      </c>
      <c r="B12" s="15" t="s">
        <v>516</v>
      </c>
      <c r="C12" s="15" t="s">
        <v>517</v>
      </c>
      <c r="D12" s="59" t="s">
        <v>518</v>
      </c>
      <c r="E12" s="15" t="s">
        <v>496</v>
      </c>
    </row>
    <row r="13" customFormat="false" ht="15" hidden="false" customHeight="true" outlineLevel="0" collapsed="false">
      <c r="A13" s="42" t="s">
        <v>519</v>
      </c>
      <c r="B13" s="15" t="s">
        <v>520</v>
      </c>
      <c r="C13" s="15" t="s">
        <v>521</v>
      </c>
      <c r="D13" s="59" t="s">
        <v>522</v>
      </c>
      <c r="E13" s="15" t="s">
        <v>496</v>
      </c>
    </row>
    <row r="14" customFormat="false" ht="15" hidden="false" customHeight="true" outlineLevel="0" collapsed="false">
      <c r="A14" s="42" t="s">
        <v>519</v>
      </c>
      <c r="B14" s="15" t="s">
        <v>523</v>
      </c>
      <c r="C14" s="15" t="s">
        <v>524</v>
      </c>
      <c r="D14" s="59" t="s">
        <v>525</v>
      </c>
      <c r="E14" s="15" t="s">
        <v>496</v>
      </c>
    </row>
    <row r="15" customFormat="false" ht="15" hidden="false" customHeight="true" outlineLevel="0" collapsed="false">
      <c r="A15" s="42" t="s">
        <v>519</v>
      </c>
      <c r="B15" s="15" t="s">
        <v>526</v>
      </c>
      <c r="C15" s="15" t="s">
        <v>527</v>
      </c>
      <c r="D15" s="59" t="s">
        <v>528</v>
      </c>
      <c r="E15" s="15" t="s">
        <v>529</v>
      </c>
    </row>
    <row r="16" customFormat="false" ht="15" hidden="false" customHeight="true" outlineLevel="0" collapsed="false">
      <c r="A16" s="42" t="s">
        <v>519</v>
      </c>
      <c r="B16" s="15" t="s">
        <v>530</v>
      </c>
      <c r="C16" s="15" t="s">
        <v>531</v>
      </c>
      <c r="D16" s="59" t="s">
        <v>532</v>
      </c>
      <c r="E16" s="15" t="s">
        <v>501</v>
      </c>
    </row>
    <row r="17" customFormat="false" ht="15" hidden="false" customHeight="true" outlineLevel="0" collapsed="false">
      <c r="A17" s="42" t="s">
        <v>533</v>
      </c>
      <c r="B17" s="15" t="s">
        <v>534</v>
      </c>
      <c r="C17" s="15" t="s">
        <v>535</v>
      </c>
      <c r="D17" s="59" t="s">
        <v>536</v>
      </c>
      <c r="E17" s="15" t="s">
        <v>506</v>
      </c>
    </row>
    <row r="18" customFormat="false" ht="15" hidden="false" customHeight="true" outlineLevel="0" collapsed="false">
      <c r="A18" s="42" t="s">
        <v>533</v>
      </c>
      <c r="B18" s="15" t="s">
        <v>537</v>
      </c>
      <c r="C18" s="15" t="s">
        <v>538</v>
      </c>
      <c r="D18" s="59" t="s">
        <v>539</v>
      </c>
      <c r="E18" s="15" t="s">
        <v>540</v>
      </c>
    </row>
    <row r="19" customFormat="false" ht="15" hidden="false" customHeight="true" outlineLevel="0" collapsed="false">
      <c r="A19" s="42" t="s">
        <v>533</v>
      </c>
      <c r="B19" s="15" t="s">
        <v>541</v>
      </c>
      <c r="C19" s="15" t="s">
        <v>542</v>
      </c>
      <c r="D19" s="59" t="s">
        <v>543</v>
      </c>
      <c r="E19" s="15" t="s">
        <v>312</v>
      </c>
    </row>
    <row r="20" customFormat="false" ht="15" hidden="false" customHeight="true" outlineLevel="0" collapsed="false">
      <c r="A20" s="42" t="s">
        <v>544</v>
      </c>
      <c r="B20" s="15" t="s">
        <v>545</v>
      </c>
      <c r="C20" s="15" t="s">
        <v>546</v>
      </c>
      <c r="D20" s="59" t="s">
        <v>547</v>
      </c>
      <c r="E20" s="15" t="s">
        <v>548</v>
      </c>
    </row>
    <row r="21" customFormat="false" ht="15" hidden="false" customHeight="true" outlineLevel="0" collapsed="false">
      <c r="A21" s="42" t="s">
        <v>544</v>
      </c>
      <c r="B21" s="15" t="s">
        <v>549</v>
      </c>
      <c r="C21" s="15" t="s">
        <v>550</v>
      </c>
      <c r="D21" s="59" t="s">
        <v>551</v>
      </c>
      <c r="E21" s="15" t="s">
        <v>552</v>
      </c>
    </row>
    <row r="22" customFormat="false" ht="15" hidden="false" customHeight="true" outlineLevel="0" collapsed="false">
      <c r="A22" s="42" t="s">
        <v>544</v>
      </c>
      <c r="B22" s="15" t="s">
        <v>553</v>
      </c>
      <c r="C22" s="15" t="s">
        <v>554</v>
      </c>
      <c r="D22" s="59" t="s">
        <v>555</v>
      </c>
      <c r="E22" s="15" t="s">
        <v>556</v>
      </c>
    </row>
    <row r="23" customFormat="false" ht="15" hidden="false" customHeight="true" outlineLevel="0" collapsed="false">
      <c r="A23" s="42" t="s">
        <v>544</v>
      </c>
      <c r="B23" s="15" t="s">
        <v>557</v>
      </c>
      <c r="C23" s="15" t="s">
        <v>558</v>
      </c>
      <c r="D23" s="59" t="s">
        <v>559</v>
      </c>
      <c r="E23" s="15" t="s">
        <v>496</v>
      </c>
    </row>
    <row r="24" customFormat="false" ht="15" hidden="false" customHeight="true" outlineLevel="0" collapsed="false">
      <c r="A24" s="42" t="s">
        <v>544</v>
      </c>
      <c r="B24" s="15" t="s">
        <v>560</v>
      </c>
      <c r="C24" s="15" t="s">
        <v>561</v>
      </c>
      <c r="D24" s="59" t="s">
        <v>562</v>
      </c>
      <c r="E24" s="15" t="s">
        <v>496</v>
      </c>
    </row>
    <row r="25" customFormat="false" ht="15" hidden="false" customHeight="true" outlineLevel="0" collapsed="false">
      <c r="A25" s="42" t="s">
        <v>544</v>
      </c>
      <c r="B25" s="15" t="s">
        <v>563</v>
      </c>
      <c r="C25" s="15" t="s">
        <v>564</v>
      </c>
      <c r="D25" s="59" t="s">
        <v>565</v>
      </c>
      <c r="E25" s="15" t="s">
        <v>566</v>
      </c>
    </row>
    <row r="26" customFormat="false" ht="15" hidden="false" customHeight="true" outlineLevel="0" collapsed="false">
      <c r="A26" s="42" t="s">
        <v>567</v>
      </c>
      <c r="B26" s="15" t="s">
        <v>568</v>
      </c>
      <c r="C26" s="15" t="s">
        <v>569</v>
      </c>
      <c r="D26" s="59" t="s">
        <v>570</v>
      </c>
      <c r="E26" s="15" t="s">
        <v>571</v>
      </c>
    </row>
    <row r="27" customFormat="false" ht="15" hidden="false" customHeight="true" outlineLevel="0" collapsed="false">
      <c r="A27" s="42" t="s">
        <v>567</v>
      </c>
      <c r="B27" s="15" t="s">
        <v>572</v>
      </c>
      <c r="C27" s="15" t="s">
        <v>573</v>
      </c>
      <c r="D27" s="59" t="s">
        <v>574</v>
      </c>
      <c r="E27" s="15" t="s">
        <v>575</v>
      </c>
    </row>
    <row r="28" customFormat="false" ht="15" hidden="false" customHeight="true" outlineLevel="0" collapsed="false">
      <c r="A28" s="42" t="s">
        <v>567</v>
      </c>
      <c r="B28" s="15" t="s">
        <v>576</v>
      </c>
      <c r="C28" s="15" t="s">
        <v>524</v>
      </c>
      <c r="D28" s="59" t="s">
        <v>577</v>
      </c>
      <c r="E28" s="15" t="s">
        <v>578</v>
      </c>
    </row>
    <row r="29" customFormat="false" ht="15" hidden="false" customHeight="true" outlineLevel="0" collapsed="false">
      <c r="A29" s="42" t="s">
        <v>579</v>
      </c>
      <c r="B29" s="15" t="s">
        <v>580</v>
      </c>
      <c r="C29" s="15" t="s">
        <v>581</v>
      </c>
      <c r="D29" s="59" t="s">
        <v>582</v>
      </c>
      <c r="E29" s="15" t="s">
        <v>583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2026-08-08T13:37:37Z</dcterms:created>
  <dc:creator>openpyxl</dc:creator>
  <dc:description/>
  <dc:language>en-US</dc:language>
  <cp:lastModifiedBy/>
  <dcterms:modified xsi:type="dcterms:W3CDTF">2026-08-09T01:58:10Z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